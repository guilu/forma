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erfil" sheetId="1" r:id="rId4"/>
    <sheet state="visible" name="Seguimiento" sheetId="2" r:id="rId5"/>
    <sheet state="visible" name="Dashboard" sheetId="3" r:id="rId6"/>
    <sheet state="visible" name="Macros" sheetId="4" r:id="rId7"/>
    <sheet state="visible" name="Dieta" sheetId="5" r:id="rId8"/>
    <sheet state="visible" name="Fuerza" sheetId="6" r:id="rId9"/>
    <sheet state="visible" name="Running" sheetId="7" r:id="rId10"/>
    <sheet state="visible" name="Mercadona" sheetId="8" r:id="rId11"/>
    <sheet state="visible" name="Compra" sheetId="9" r:id="rId12"/>
    <sheet state="visible" name="Reglas" sheetId="10" r:id="rId13"/>
    <sheet state="visible" name="Fuentes" sheetId="11" r:id="rId14"/>
  </sheets>
  <definedNames/>
  <calcPr/>
  <extLst>
    <ext uri="GoogleSheetsCustomDataVersion2">
      <go:sheetsCustomData xmlns:go="http://customooxmlschemas.google.com/" r:id="rId15" roundtripDataChecksum="lV1PHYnLJ2zasqHx3CzT0IjNdVWX1mmfTjfEXGwEmLQ="/>
    </ext>
  </extLst>
</workbook>
</file>

<file path=xl/sharedStrings.xml><?xml version="1.0" encoding="utf-8"?>
<sst xmlns="http://schemas.openxmlformats.org/spreadsheetml/2006/main" count="644" uniqueCount="378">
  <si>
    <t>Fitness OS — Perfil y objetivos</t>
  </si>
  <si>
    <t>Campo</t>
  </si>
  <si>
    <t>Valor</t>
  </si>
  <si>
    <t>Unidad</t>
  </si>
  <si>
    <t>Notas</t>
  </si>
  <si>
    <t>Nombre</t>
  </si>
  <si>
    <t>Diego</t>
  </si>
  <si>
    <t>Editable</t>
  </si>
  <si>
    <t>Edad</t>
  </si>
  <si>
    <t>años</t>
  </si>
  <si>
    <t>Ajustar si procede</t>
  </si>
  <si>
    <t>Altura</t>
  </si>
  <si>
    <t>m</t>
  </si>
  <si>
    <t>Peso inicial</t>
  </si>
  <si>
    <t>kg</t>
  </si>
  <si>
    <t>Medición actual</t>
  </si>
  <si>
    <t>Grasa inicial</t>
  </si>
  <si>
    <t>%</t>
  </si>
  <si>
    <t>Báscula wifi</t>
  </si>
  <si>
    <t>IMC inicial</t>
  </si>
  <si>
    <t>Objetivo grasa</t>
  </si>
  <si>
    <t>Rango objetivo 12-13%</t>
  </si>
  <si>
    <t>Objetivo peso</t>
  </si>
  <si>
    <t>73-75</t>
  </si>
  <si>
    <t>Recomposición, no pérdida agresiva</t>
  </si>
  <si>
    <t>Kcal base</t>
  </si>
  <si>
    <t>kcal/día</t>
  </si>
  <si>
    <t>Ajuste semanal según tendencia</t>
  </si>
  <si>
    <t>Proteína objetivo</t>
  </si>
  <si>
    <t>g/día</t>
  </si>
  <si>
    <t>2.1-2.2 g/kg aprox.</t>
  </si>
  <si>
    <t>Grasas objetivo</t>
  </si>
  <si>
    <t>Carbohidratos objetivo</t>
  </si>
  <si>
    <t>Flexible según running</t>
  </si>
  <si>
    <t>Seguimiento semanal — introducir datos cada domingo</t>
  </si>
  <si>
    <t>Semana</t>
  </si>
  <si>
    <t>Fecha</t>
  </si>
  <si>
    <t>Peso kg</t>
  </si>
  <si>
    <t>Grasa %</t>
  </si>
  <si>
    <t>Masa grasa kg</t>
  </si>
  <si>
    <t>Masa magra kg</t>
  </si>
  <si>
    <t>IMC</t>
  </si>
  <si>
    <t>Km running</t>
  </si>
  <si>
    <t>Ritmo 4 km</t>
  </si>
  <si>
    <t>Kcal recomendadas</t>
  </si>
  <si>
    <t>Comentario</t>
  </si>
  <si>
    <t>5:42</t>
  </si>
  <si>
    <t>Fitness OS — Dashboard</t>
  </si>
  <si>
    <t>Indicador</t>
  </si>
  <si>
    <t>Objetivo</t>
  </si>
  <si>
    <t>Estado</t>
  </si>
  <si>
    <t>Último peso</t>
  </si>
  <si>
    <t>73-75 kg</t>
  </si>
  <si>
    <t>Última grasa %</t>
  </si>
  <si>
    <t>12-13 %</t>
  </si>
  <si>
    <t>Masa magra</t>
  </si>
  <si>
    <t>&gt;62 kg</t>
  </si>
  <si>
    <t>22-23</t>
  </si>
  <si>
    <t>2200-2400</t>
  </si>
  <si>
    <t>Ajuste semanal</t>
  </si>
  <si>
    <t>Coste compra semanal</t>
  </si>
  <si>
    <t>&lt;120 €/sem</t>
  </si>
  <si>
    <t>Regla práctica: si el peso cae &gt;0,4 kg/semana o baja la fuerza, sube 100-150 kcal. Si la grasa sube 2-3 semanas, baja 100 kcal. Nada de dieta kamikaze: ya estás en buen punto.</t>
  </si>
  <si>
    <t>Base de alimentos y macros por 100 g</t>
  </si>
  <si>
    <t>Alimento</t>
  </si>
  <si>
    <t>Categoría</t>
  </si>
  <si>
    <t>kcal/100g</t>
  </si>
  <si>
    <t>Prot/100g</t>
  </si>
  <si>
    <t>HC/100g</t>
  </si>
  <si>
    <t>Grasa/100g</t>
  </si>
  <si>
    <t>Ración g</t>
  </si>
  <si>
    <t>kcal/ración</t>
  </si>
  <si>
    <t>Prot/ración</t>
  </si>
  <si>
    <t>Copos de avena</t>
  </si>
  <si>
    <t>Carbohidrato</t>
  </si>
  <si>
    <t>Whey proteína</t>
  </si>
  <si>
    <t>Proteína</t>
  </si>
  <si>
    <t>Plátano</t>
  </si>
  <si>
    <t>Fruta</t>
  </si>
  <si>
    <t>Huevos</t>
  </si>
  <si>
    <t>Claras líquidas</t>
  </si>
  <si>
    <t>Queso fresco batido 0%</t>
  </si>
  <si>
    <t>Yogur proteína</t>
  </si>
  <si>
    <t>Pechuga pollo</t>
  </si>
  <si>
    <t>Pavo lonchas/corte</t>
  </si>
  <si>
    <t>Atún natural</t>
  </si>
  <si>
    <t>Merluza</t>
  </si>
  <si>
    <t>Salmón</t>
  </si>
  <si>
    <t>Arroz</t>
  </si>
  <si>
    <t>Pasta integral</t>
  </si>
  <si>
    <t>Patata</t>
  </si>
  <si>
    <t>Boniato</t>
  </si>
  <si>
    <t>Pan integral</t>
  </si>
  <si>
    <t>Verdura variada</t>
  </si>
  <si>
    <t>Verdura</t>
  </si>
  <si>
    <t>Ensalada preparada</t>
  </si>
  <si>
    <t>Aceite oliva virgen extra</t>
  </si>
  <si>
    <t>Grasa</t>
  </si>
  <si>
    <t>Almendras/nueces</t>
  </si>
  <si>
    <t>Frutos rojos congelados</t>
  </si>
  <si>
    <t>Leche desnatada</t>
  </si>
  <si>
    <t>Lácteo</t>
  </si>
  <si>
    <t>Dieta semanal — recomposición 2200-2400 kcal</t>
  </si>
  <si>
    <t>Día</t>
  </si>
  <si>
    <t>Desayuno</t>
  </si>
  <si>
    <t>Media mañana</t>
  </si>
  <si>
    <t>Comida</t>
  </si>
  <si>
    <t>Merienda/Post</t>
  </si>
  <si>
    <t>Cena</t>
  </si>
  <si>
    <t>kcal aprox</t>
  </si>
  <si>
    <t>Proteína g</t>
  </si>
  <si>
    <t>HC g</t>
  </si>
  <si>
    <t>Grasa g</t>
  </si>
  <si>
    <t>Lunes</t>
  </si>
  <si>
    <t>Avena 60g + whey 30g + plátano</t>
  </si>
  <si>
    <t>Queso fresco batido 250g</t>
  </si>
  <si>
    <t>Pollo 200g + arroz 80g + verduras + AOVE</t>
  </si>
  <si>
    <t>Yogur proteína + fruta</t>
  </si>
  <si>
    <t>Merluza 200g + patata 300g + ensalada</t>
  </si>
  <si>
    <t>Running 4-5 km</t>
  </si>
  <si>
    <t>Martes</t>
  </si>
  <si>
    <t>2 huevos + claras 150g + pan integral</t>
  </si>
  <si>
    <t>Fruta + 25g frutos secos</t>
  </si>
  <si>
    <t>Pavo 200g + boniato 250g + verduras</t>
  </si>
  <si>
    <t>Whey 30g + leche desnatada</t>
  </si>
  <si>
    <t>Salmón 180g + ensalada + patata</t>
  </si>
  <si>
    <t>Fuerza empuje</t>
  </si>
  <si>
    <t>Miércoles</t>
  </si>
  <si>
    <t>Avena 60g + yogur proteína + frutos rojos</t>
  </si>
  <si>
    <t>Atún natural + pan integral</t>
  </si>
  <si>
    <t>Pollo 200g + pasta integral 80g + verduras</t>
  </si>
  <si>
    <t>QFB 250g + fruta</t>
  </si>
  <si>
    <t>Tortilla 2 huevos + claras + ensalada</t>
  </si>
  <si>
    <t>Running suave</t>
  </si>
  <si>
    <t>Jueves</t>
  </si>
  <si>
    <t>Avena + whey + plátano</t>
  </si>
  <si>
    <t>Arroz 80g + atún 2 latas + ensalada</t>
  </si>
  <si>
    <t>Fruta + frutos secos</t>
  </si>
  <si>
    <t>Merluza + verduras + patata</t>
  </si>
  <si>
    <t>Fuerza tirón</t>
  </si>
  <si>
    <t>Viernes</t>
  </si>
  <si>
    <t>Huevos + pan integral + fruta</t>
  </si>
  <si>
    <t>QFB 250g</t>
  </si>
  <si>
    <t>Pollo + boniato + verduras</t>
  </si>
  <si>
    <t>Whey + leche</t>
  </si>
  <si>
    <t>Salmón + ensalada</t>
  </si>
  <si>
    <t>Descanso/paseo</t>
  </si>
  <si>
    <t>Sábado</t>
  </si>
  <si>
    <t>Pavo + arroz + verduras</t>
  </si>
  <si>
    <t>QFB + fruta</t>
  </si>
  <si>
    <t>Merluza + patata + ensalada</t>
  </si>
  <si>
    <t>Running largo</t>
  </si>
  <si>
    <t>Domingo</t>
  </si>
  <si>
    <t>Tortilla + pan integral</t>
  </si>
  <si>
    <t>Comida libre controlada: proteína + carbo + verdura</t>
  </si>
  <si>
    <t>Whey opcional</t>
  </si>
  <si>
    <t>Pescado/huevos + verduras</t>
  </si>
  <si>
    <t>Fuerza pierna/core</t>
  </si>
  <si>
    <t>Rutina fuerza en casa — mancuernas, banco, bandas y barra</t>
  </si>
  <si>
    <t>Bloque</t>
  </si>
  <si>
    <t>Ejercicio</t>
  </si>
  <si>
    <t>Series</t>
  </si>
  <si>
    <t>Reps</t>
  </si>
  <si>
    <t>RIR</t>
  </si>
  <si>
    <t>Descanso</t>
  </si>
  <si>
    <t>Progresión</t>
  </si>
  <si>
    <t>Empuje</t>
  </si>
  <si>
    <t>Press mancuernas en banco</t>
  </si>
  <si>
    <t>8-12</t>
  </si>
  <si>
    <t>90s</t>
  </si>
  <si>
    <t>Cuando llegues a 12 en todas, sube peso</t>
  </si>
  <si>
    <t>Controla bajada</t>
  </si>
  <si>
    <t>Press militar mancuernas</t>
  </si>
  <si>
    <t>8-10</t>
  </si>
  <si>
    <t>Sube 1-2 kg cuando completes rango</t>
  </si>
  <si>
    <t>Flexiones</t>
  </si>
  <si>
    <t>AMRAP</t>
  </si>
  <si>
    <t>60s</t>
  </si>
  <si>
    <t>Añade lastre/mochila si &gt;20</t>
  </si>
  <si>
    <t>Elevaciones laterales</t>
  </si>
  <si>
    <t>12-20</t>
  </si>
  <si>
    <t>45s</t>
  </si>
  <si>
    <t>Sube reps antes que peso</t>
  </si>
  <si>
    <t>Plancha</t>
  </si>
  <si>
    <t>45-75s</t>
  </si>
  <si>
    <t>Añade tiempo</t>
  </si>
  <si>
    <t>Tirón</t>
  </si>
  <si>
    <t>Dominadas agarre puerta</t>
  </si>
  <si>
    <t>120s</t>
  </si>
  <si>
    <t>Objetivo 10 limpias</t>
  </si>
  <si>
    <t>Agarre estrecho por barra</t>
  </si>
  <si>
    <t>Remo mancuerna a banco</t>
  </si>
  <si>
    <t>Sube peso al completar rango</t>
  </si>
  <si>
    <t>Face pull con banda</t>
  </si>
  <si>
    <t>15-25</t>
  </si>
  <si>
    <t>Más tensión o reps</t>
  </si>
  <si>
    <t>Hombro sano</t>
  </si>
  <si>
    <t>Curl bíceps</t>
  </si>
  <si>
    <t>10-15</t>
  </si>
  <si>
    <t>Sube reps/peso</t>
  </si>
  <si>
    <t>Pájaros posteriores</t>
  </si>
  <si>
    <t>Control</t>
  </si>
  <si>
    <t>Pierna/Core</t>
  </si>
  <si>
    <t>Sentadilla goblet</t>
  </si>
  <si>
    <t>Sube peso o tempo</t>
  </si>
  <si>
    <t>Peso muerto rumano mancuernas</t>
  </si>
  <si>
    <t>Sube peso progresivo</t>
  </si>
  <si>
    <t>Bisagra cadera</t>
  </si>
  <si>
    <t>Zancadas</t>
  </si>
  <si>
    <t>10-12/pierna</t>
  </si>
  <si>
    <t>Más reps o peso</t>
  </si>
  <si>
    <t>Gemelos</t>
  </si>
  <si>
    <t>Pausa arriba</t>
  </si>
  <si>
    <t>Dead bug / hollow hold</t>
  </si>
  <si>
    <t>Control lumbo-pélvico</t>
  </si>
  <si>
    <t>Plan running 16 semanas — 4 km actuales hacia 10 km cómodos</t>
  </si>
  <si>
    <t>Sesión 1</t>
  </si>
  <si>
    <t>Sesión 2</t>
  </si>
  <si>
    <t>Sesión 3 largo</t>
  </si>
  <si>
    <t>Km semana</t>
  </si>
  <si>
    <t>Ritmo objetivo</t>
  </si>
  <si>
    <t>FC/RPE</t>
  </si>
  <si>
    <t>4 km suave</t>
  </si>
  <si>
    <t>Series cortas: 6x400m</t>
  </si>
  <si>
    <t>5.0 km</t>
  </si>
  <si>
    <t>5:45-6:15/km suave; series controladas</t>
  </si>
  <si>
    <t>RPE 6-7; largo conversacional</t>
  </si>
  <si>
    <t>Acumular sin lesionarse</t>
  </si>
  <si>
    <t>Semana descarga cada 4 semanas</t>
  </si>
  <si>
    <t>5.4 km</t>
  </si>
  <si>
    <t>5.8 km</t>
  </si>
  <si>
    <t>Rodaje muy suave/descarga</t>
  </si>
  <si>
    <t>6.2 km</t>
  </si>
  <si>
    <t>5 km suave</t>
  </si>
  <si>
    <t>6.6 km</t>
  </si>
  <si>
    <t>7.0 km</t>
  </si>
  <si>
    <t>7.4 km</t>
  </si>
  <si>
    <t>7.8 km</t>
  </si>
  <si>
    <t>Consolidar 8-10 km</t>
  </si>
  <si>
    <t>8.2 km</t>
  </si>
  <si>
    <t>8.6 km</t>
  </si>
  <si>
    <t>9.0 km</t>
  </si>
  <si>
    <t>9.4 km</t>
  </si>
  <si>
    <t>9.8 km</t>
  </si>
  <si>
    <t>10.0 km</t>
  </si>
  <si>
    <t>Mercadona — productos, enlaces y precios editables</t>
  </si>
  <si>
    <t>Producto</t>
  </si>
  <si>
    <t>Formato</t>
  </si>
  <si>
    <t>Cantidad semanal</t>
  </si>
  <si>
    <t>Unidad compra</t>
  </si>
  <si>
    <t>Precio estimado €</t>
  </si>
  <si>
    <t>Coste semanal €</t>
  </si>
  <si>
    <t>Link Mercadona</t>
  </si>
  <si>
    <t>Fuente precio</t>
  </si>
  <si>
    <t>Copos de avena Brüggen</t>
  </si>
  <si>
    <t>Carbohidratos</t>
  </si>
  <si>
    <t>500 g</t>
  </si>
  <si>
    <t>caja</t>
  </si>
  <si>
    <t>https://tienda.mercadona.es/product/86341/copos-avena-bruggen-caja</t>
  </si>
  <si>
    <t>Estimado editable</t>
  </si>
  <si>
    <t>Precio no extraíble de HTML público</t>
  </si>
  <si>
    <t>Suplemento</t>
  </si>
  <si>
    <t>1 kg</t>
  </si>
  <si>
    <t>bote</t>
  </si>
  <si>
    <t>Usuario/externo</t>
  </si>
  <si>
    <t>No suele ser compra Mercadona</t>
  </si>
  <si>
    <t>Plátanos</t>
  </si>
  <si>
    <t>https://tienda.mercadona.es/search-results?query=platano</t>
  </si>
  <si>
    <t>Huevos grandes L</t>
  </si>
  <si>
    <t>12 uds</t>
  </si>
  <si>
    <t>paquete</t>
  </si>
  <si>
    <t>https://tienda.mercadona.es/product/31504/huevos-grandes-l-paquete</t>
  </si>
  <si>
    <t>Claras de huevo líquidas pasteurizadas</t>
  </si>
  <si>
    <t>botella</t>
  </si>
  <si>
    <t>https://tienda.mercadona.es/product/31312/claras-huevo-liquidas-pasteurizadas-botella</t>
  </si>
  <si>
    <t>Queso fresco batido 0% MG Hacendado</t>
  </si>
  <si>
    <t>tarrina</t>
  </si>
  <si>
    <t>https://tienda.mercadona.es/product/51071/queso-fresco-batido-desnatado-0-mg-hacendado-tarrina</t>
  </si>
  <si>
    <t>pack</t>
  </si>
  <si>
    <t>unidad/pack</t>
  </si>
  <si>
    <t>https://tienda.mercadona.es/search-results?query=yogur%20proteina</t>
  </si>
  <si>
    <t>Pechugas enteras de pollo</t>
  </si>
  <si>
    <t>https://tienda.mercadona.es/product/3724/pechugas-enteras-pollo-bandeja</t>
  </si>
  <si>
    <t>Fresco varía por bandeja</t>
  </si>
  <si>
    <t>https://tienda.mercadona.es/product/56162/pechuga-pollo-hacendado-corte-paquete</t>
  </si>
  <si>
    <t>Sustituible por pollo/pavo</t>
  </si>
  <si>
    <t>pack latas</t>
  </si>
  <si>
    <t>https://tienda.mercadona.es/search-results?query=atun%20natural</t>
  </si>
  <si>
    <t>https://tienda.mercadona.es/search-results?query=merluza</t>
  </si>
  <si>
    <t>Congelada suele abaratar</t>
  </si>
  <si>
    <t>https://tienda.mercadona.es/search-results?query=salmon</t>
  </si>
  <si>
    <t>Principal variable de presupuesto</t>
  </si>
  <si>
    <t>Arroz redondo/largo</t>
  </si>
  <si>
    <t>https://tienda.mercadona.es/search-results?query=arroz</t>
  </si>
  <si>
    <t>https://tienda.mercadona.es/search-results?query=pasta%20integral</t>
  </si>
  <si>
    <t>Patatas</t>
  </si>
  <si>
    <t>5 kg</t>
  </si>
  <si>
    <t>malla</t>
  </si>
  <si>
    <t>https://tienda.mercadona.es/search-results?query=patatas</t>
  </si>
  <si>
    <t>Noticia 2026/estimado</t>
  </si>
  <si>
    <t>Precio citado en noticia reciente; verificar</t>
  </si>
  <si>
    <t>https://tienda.mercadona.es/search-results?query=boniato</t>
  </si>
  <si>
    <t>https://tienda.mercadona.es/search-results?query=pan%20integral</t>
  </si>
  <si>
    <t>https://tienda.mercadona.es/search-results?query=verdura</t>
  </si>
  <si>
    <t>Mezcla fresco/congelado</t>
  </si>
  <si>
    <t>Ensaladas preparadas</t>
  </si>
  <si>
    <t>bolsa</t>
  </si>
  <si>
    <t>https://tienda.mercadona.es/search-results?query=ensalada</t>
  </si>
  <si>
    <t>Aceite de oliva virgen extra</t>
  </si>
  <si>
    <t>1 L</t>
  </si>
  <si>
    <t>https://tienda.mercadona.es/search-results?query=aceite%20oliva</t>
  </si>
  <si>
    <t>Coste semanal prorrateado</t>
  </si>
  <si>
    <t>Frutos secos naturales</t>
  </si>
  <si>
    <t>200 g</t>
  </si>
  <si>
    <t>https://tienda.mercadona.es/search-results?query=almendras%20naturales</t>
  </si>
  <si>
    <t>https://tienda.mercadona.es/search-results?query=frutos%20rojos%20congelados</t>
  </si>
  <si>
    <t>brick</t>
  </si>
  <si>
    <t>https://tienda.mercadona.es/search-results?query=leche%20desnatada</t>
  </si>
  <si>
    <t>Lista de compra semanal calculada</t>
  </si>
  <si>
    <t>Cantidad</t>
  </si>
  <si>
    <t>Precio €</t>
  </si>
  <si>
    <t>Link</t>
  </si>
  <si>
    <t>Coste €</t>
  </si>
  <si>
    <t>TOTAL</t>
  </si>
  <si>
    <t>TOTAL mensual aprox. x4,33</t>
  </si>
  <si>
    <t>Reglas de ajuste semanal</t>
  </si>
  <si>
    <t>Señal</t>
  </si>
  <si>
    <t>Condición</t>
  </si>
  <si>
    <t>Acción</t>
  </si>
  <si>
    <t>Por qué</t>
  </si>
  <si>
    <t>Peso baja rápido</t>
  </si>
  <si>
    <t>&lt;-0,4 kg/semana</t>
  </si>
  <si>
    <t>+100/+150 kcal</t>
  </si>
  <si>
    <t>Evitar perder masa magra</t>
  </si>
  <si>
    <t>Grasa sube</t>
  </si>
  <si>
    <t>2-3 semanas seguidas</t>
  </si>
  <si>
    <t>-100 kcal</t>
  </si>
  <si>
    <t>Recorte mínimo</t>
  </si>
  <si>
    <t>Fuerza baja</t>
  </si>
  <si>
    <t>2 entrenos malos</t>
  </si>
  <si>
    <t>Semana descarga o +carbohidrato</t>
  </si>
  <si>
    <t>Rendimiento manda</t>
  </si>
  <si>
    <t>FC running alta</t>
  </si>
  <si>
    <t>Mismo ritmo, más ppm</t>
  </si>
  <si>
    <t>Dormir más / bajar intensidad</t>
  </si>
  <si>
    <t>Fatiga acumulada</t>
  </si>
  <si>
    <t>Hambre alta</t>
  </si>
  <si>
    <t>&gt;7/10 varios días</t>
  </si>
  <si>
    <t>Más patata/verdura/proteína magra</t>
  </si>
  <si>
    <t>Adherencia</t>
  </si>
  <si>
    <t>Coste alto</t>
  </si>
  <si>
    <t>&gt;120€/semana</t>
  </si>
  <si>
    <t>Cambiar salmón por merluza/atún/huevos</t>
  </si>
  <si>
    <t>El bolsillo también hace cardio</t>
  </si>
  <si>
    <t>Fuentes y limitaciones</t>
  </si>
  <si>
    <t>Tema</t>
  </si>
  <si>
    <t>Fuente</t>
  </si>
  <si>
    <t>URL</t>
  </si>
  <si>
    <t>Mercadona online</t>
  </si>
  <si>
    <t>Página oficial</t>
  </si>
  <si>
    <t>https://www.mercadona.es/</t>
  </si>
  <si>
    <t>Compra online por zona</t>
  </si>
  <si>
    <t>Disponibilidad online</t>
  </si>
  <si>
    <t>Ayuda Mercadona</t>
  </si>
  <si>
    <t>https://ayuda.tienda.mercadona.es/hc/es/articles/360001935371--El-nuevo-servicio-de-compra-online-llega-a-mi-c%C3%B3digo-postal</t>
  </si>
  <si>
    <t>Depende de código postal</t>
  </si>
  <si>
    <t>Productos online vs tienda</t>
  </si>
  <si>
    <t>https://ayuda.tienda.mercadona.es/hc/en-us/articles/360000841032-Does-the-online-shopping-platform-carry-the-same-products-as-the-physical-supermarkets</t>
  </si>
  <si>
    <t>La mayoría de productos, con limitaciones en frescos/locales</t>
  </si>
  <si>
    <t>Servicio online</t>
  </si>
  <si>
    <t>FAQ Mercadona</t>
  </si>
  <si>
    <t>https://info.mercadona.es/es/atencion-al-cliente/preguntas-frecuentes/consultas-sobre-compra-online/faq</t>
  </si>
  <si>
    <t>Servicio 8,20€ y pedido mínimo 60€ según FAQ actual</t>
  </si>
  <si>
    <t>Producto ejemplo: avena</t>
  </si>
  <si>
    <t>Mercadona</t>
  </si>
  <si>
    <t>Ficha producto sin precio accesible por HTML</t>
  </si>
  <si>
    <t>Producto ejemplo: pollo</t>
  </si>
  <si>
    <t>Producto ejemplo: queso fresco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</si>
</sst>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/yyyy"/>
    <numFmt numFmtId="165" formatCode="€0.00"/>
  </numFmts>
  <fonts count="7">
    <font>
      <sz val="11.0"/>
      <color rgb="FF000000"/>
      <name val="Carlito"/>
      <scheme val="minor"/>
    </font>
    <font>
      <b/>
      <sz val="16.0"/>
      <color rgb="FFFFFFFF"/>
      <name val="Carlito"/>
    </font>
    <font>
      <sz val="11.0"/>
      <color theme="1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u/>
      <color rgb="FF0000FF"/>
    </font>
    <font>
      <b/>
      <sz val="11.0"/>
      <color rgb="FF1F2937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F172A"/>
        <bgColor rgb="FF0F172A"/>
      </patternFill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D9EAF7"/>
        <bgColor rgb="FFD9EAF7"/>
      </patternFill>
    </fill>
  </fills>
  <borders count="1">
    <border/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shrinkToFit="0" vertical="center" wrapText="1"/>
    </xf>
    <xf borderId="0" fillId="0" fontId="2" numFmtId="0" xfId="0" applyAlignment="1" applyFont="1">
      <alignment shrinkToFit="0" wrapText="1"/>
    </xf>
    <xf borderId="0" fillId="3" fontId="3" numFmtId="0" xfId="0" applyAlignment="1" applyFill="1" applyFont="1">
      <alignment horizontal="center" shrinkToFit="0" vertical="center" wrapText="1"/>
    </xf>
    <xf borderId="0" fillId="0" fontId="4" numFmtId="0" xfId="0" applyFont="1"/>
    <xf borderId="0" fillId="4" fontId="2" numFmtId="0" xfId="0" applyFill="1" applyFont="1"/>
    <xf borderId="0" fillId="3" fontId="3" numFmtId="0" xfId="0" applyAlignment="1" applyFont="1">
      <alignment horizontal="center" shrinkToFit="0" vertical="center" wrapText="1"/>
    </xf>
    <xf borderId="0" fillId="0" fontId="4" numFmtId="0" xfId="0" applyFont="1"/>
    <xf borderId="0" fillId="0" fontId="2" numFmtId="164" xfId="0" applyFont="1" applyNumberFormat="1"/>
    <xf borderId="0" fillId="4" fontId="2" numFmtId="0" xfId="0" applyFont="1"/>
    <xf borderId="0" fillId="5" fontId="2" numFmtId="0" xfId="0" applyFill="1" applyFont="1"/>
    <xf borderId="0" fillId="5" fontId="2" numFmtId="165" xfId="0" applyFont="1" applyNumberFormat="1"/>
    <xf borderId="0" fillId="4" fontId="2" numFmtId="165" xfId="0" applyFont="1" applyNumberFormat="1"/>
    <xf borderId="0" fillId="5" fontId="2" numFmtId="165" xfId="0" applyFont="1" applyNumberFormat="1"/>
    <xf borderId="0" fillId="0" fontId="2" numFmtId="165" xfId="0" applyFont="1" applyNumberFormat="1"/>
    <xf borderId="0" fillId="0" fontId="5" numFmtId="0" xfId="0" applyFont="1"/>
    <xf borderId="0" fillId="6" fontId="6" numFmtId="0" xfId="0" applyAlignment="1" applyFill="1" applyFont="1">
      <alignment horizontal="center" shrinkToFit="0" vertical="center" wrapText="1"/>
    </xf>
    <xf borderId="0" fillId="6" fontId="6" numFmtId="165" xfId="0" applyAlignment="1" applyFont="1" applyNumberFormat="1">
      <alignment horizontal="center" shrinkToFit="0" vertical="center" wrapText="1"/>
    </xf>
    <xf borderId="0" fillId="0" fontId="2" numFmtId="165" xfId="0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7">
    <tableStyle count="3" pivot="0" name="Seguimiento-style">
      <tableStyleElement dxfId="1" type="headerRow"/>
      <tableStyleElement dxfId="2" type="firstRowStripe"/>
      <tableStyleElement dxfId="3" type="secondRowStripe"/>
    </tableStyle>
    <tableStyle count="3" pivot="0" name="Macros-style">
      <tableStyleElement dxfId="1" type="headerRow"/>
      <tableStyleElement dxfId="2" type="firstRowStripe"/>
      <tableStyleElement dxfId="3" type="secondRowStripe"/>
    </tableStyle>
    <tableStyle count="3" pivot="0" name="Dieta-style">
      <tableStyleElement dxfId="1" type="headerRow"/>
      <tableStyleElement dxfId="2" type="firstRowStripe"/>
      <tableStyleElement dxfId="3" type="secondRowStripe"/>
    </tableStyle>
    <tableStyle count="3" pivot="0" name="Fuerza-style">
      <tableStyleElement dxfId="1" type="headerRow"/>
      <tableStyleElement dxfId="2" type="firstRowStripe"/>
      <tableStyleElement dxfId="3" type="secondRowStripe"/>
    </tableStyle>
    <tableStyle count="3" pivot="0" name="Running-style">
      <tableStyleElement dxfId="1" type="headerRow"/>
      <tableStyleElement dxfId="2" type="firstRowStripe"/>
      <tableStyleElement dxfId="3" type="secondRowStripe"/>
    </tableStyle>
    <tableStyle count="3" pivot="0" name="Mercadona-style">
      <tableStyleElement dxfId="1" type="headerRow"/>
      <tableStyleElement dxfId="2" type="firstRowStripe"/>
      <tableStyleElement dxfId="3" type="secondRowStripe"/>
    </tableStyle>
    <tableStyle count="3" pivot="0" name="Compra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customschemas.google.com/relationships/workbookmetadata" Target="metadata"/><Relationship Id="rId14" Type="http://schemas.openxmlformats.org/officeDocument/2006/relationships/worksheet" Target="worksheets/sheet1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K27" displayName="Table_1" name="Table_1" id="1">
  <tableColumns count="11">
    <tableColumn name="Semana" id="1"/>
    <tableColumn name="Fecha" id="2"/>
    <tableColumn name="Peso kg" id="3"/>
    <tableColumn name="Grasa %" id="4"/>
    <tableColumn name="Masa grasa kg" id="5"/>
    <tableColumn name="Masa magra kg" id="6"/>
    <tableColumn name="IMC" id="7"/>
    <tableColumn name="Km running" id="8"/>
    <tableColumn name="Ritmo 4 km" id="9"/>
    <tableColumn name="Kcal recomendadas" id="10"/>
    <tableColumn name="Comentario" id="11"/>
  </tableColumns>
  <tableStyleInfo name="Seguimiento-style" showColumnStripes="0" showFirstColumn="1" showLastColumn="1" showRowStripes="1"/>
</table>
</file>

<file path=xl/tables/table2.xml><?xml version="1.0" encoding="utf-8"?>
<table xmlns="http://schemas.openxmlformats.org/spreadsheetml/2006/main" ref="A3:I26" displayName="Table_2" name="Table_2" id="2">
  <tableColumns count="9">
    <tableColumn name="Alimento" id="1"/>
    <tableColumn name="Categoría" id="2"/>
    <tableColumn name="kcal/100g" id="3"/>
    <tableColumn name="Prot/100g" id="4"/>
    <tableColumn name="HC/100g" id="5"/>
    <tableColumn name="Grasa/100g" id="6"/>
    <tableColumn name="Ración g" id="7"/>
    <tableColumn name="kcal/ración" id="8"/>
    <tableColumn name="Prot/ración" id="9"/>
  </tableColumns>
  <tableStyleInfo name="Macros-style" showColumnStripes="0" showFirstColumn="1" showLastColumn="1" showRowStripes="1"/>
</table>
</file>

<file path=xl/tables/table3.xml><?xml version="1.0" encoding="utf-8"?>
<table xmlns="http://schemas.openxmlformats.org/spreadsheetml/2006/main" ref="A3:K10" displayName="Table_3" name="Table_3" id="3">
  <tableColumns count="11">
    <tableColumn name="Día" id="1"/>
    <tableColumn name="Desayuno" id="2"/>
    <tableColumn name="Media mañana" id="3"/>
    <tableColumn name="Comida" id="4"/>
    <tableColumn name="Merienda/Post" id="5"/>
    <tableColumn name="Cena" id="6"/>
    <tableColumn name="kcal aprox" id="7"/>
    <tableColumn name="Proteína g" id="8"/>
    <tableColumn name="HC g" id="9"/>
    <tableColumn name="Grasa g" id="10"/>
    <tableColumn name="Notas" id="11"/>
  </tableColumns>
  <tableStyleInfo name="Dieta-style" showColumnStripes="0" showFirstColumn="1" showLastColumn="1" showRowStripes="1"/>
</table>
</file>

<file path=xl/tables/table4.xml><?xml version="1.0" encoding="utf-8"?>
<table xmlns="http://schemas.openxmlformats.org/spreadsheetml/2006/main" ref="A3:I18" displayName="Table_4" name="Table_4" id="4">
  <tableColumns count="9">
    <tableColumn name="Día" id="1"/>
    <tableColumn name="Bloque" id="2"/>
    <tableColumn name="Ejercicio" id="3"/>
    <tableColumn name="Series" id="4"/>
    <tableColumn name="Reps" id="5"/>
    <tableColumn name="RIR" id="6"/>
    <tableColumn name="Descanso" id="7"/>
    <tableColumn name="Progresión" id="8"/>
    <tableColumn name="Notas" id="9"/>
  </tableColumns>
  <tableStyleInfo name="Fuerza-style" showColumnStripes="0" showFirstColumn="1" showLastColumn="1" showRowStripes="1"/>
</table>
</file>

<file path=xl/tables/table5.xml><?xml version="1.0" encoding="utf-8"?>
<table xmlns="http://schemas.openxmlformats.org/spreadsheetml/2006/main" ref="A3:I19" displayName="Table_5" name="Table_5" id="5">
  <tableColumns count="9">
    <tableColumn name="Semana" id="1"/>
    <tableColumn name="Sesión 1" id="2"/>
    <tableColumn name="Sesión 2" id="3"/>
    <tableColumn name="Sesión 3 largo" id="4"/>
    <tableColumn name="Km semana" id="5"/>
    <tableColumn name="Ritmo objetivo" id="6"/>
    <tableColumn name="FC/RPE" id="7"/>
    <tableColumn name="Objetivo" id="8"/>
    <tableColumn name="Notas" id="9"/>
  </tableColumns>
  <tableStyleInfo name="Running-style" showColumnStripes="0" showFirstColumn="1" showLastColumn="1" showRowStripes="1"/>
</table>
</file>

<file path=xl/tables/table6.xml><?xml version="1.0" encoding="utf-8"?>
<table xmlns="http://schemas.openxmlformats.org/spreadsheetml/2006/main" ref="A3:J26" displayName="Table_6" name="Table_6" id="6">
  <tableColumns count="10">
    <tableColumn name="Producto" id="1"/>
    <tableColumn name="Categoría" id="2"/>
    <tableColumn name="Formato" id="3"/>
    <tableColumn name="Cantidad semanal" id="4"/>
    <tableColumn name="Unidad compra" id="5"/>
    <tableColumn name="Precio estimado €" id="6"/>
    <tableColumn name="Coste semanal €" id="7"/>
    <tableColumn name="Link Mercadona" id="8"/>
    <tableColumn name="Fuente precio" id="9"/>
    <tableColumn name="Notas" id="10"/>
  </tableColumns>
  <tableStyleInfo name="Mercadona-style" showColumnStripes="0" showFirstColumn="1" showLastColumn="1" showRowStripes="1"/>
</table>
</file>

<file path=xl/tables/table7.xml><?xml version="1.0" encoding="utf-8"?>
<table xmlns="http://schemas.openxmlformats.org/spreadsheetml/2006/main" ref="A3:H31" displayName="Table_7" name="Table_7" id="7">
  <tableColumns count="8">
    <tableColumn name="Producto" id="1"/>
    <tableColumn name="Categoría" id="2"/>
    <tableColumn name="Cantidad" id="3"/>
    <tableColumn name="Unidad compra" id="4"/>
    <tableColumn name="Precio €" id="5"/>
    <tableColumn name="Link" id="6"/>
    <tableColumn name="Coste €" id="7"/>
    <tableColumn name="Notas" id="8"/>
  </tableColumns>
  <tableStyleInfo name="Compr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3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4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5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6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7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5.25"/>
    <col customWidth="1" min="3" max="3" width="6.88"/>
    <col customWidth="1" min="4" max="4" width="27.63"/>
    <col customWidth="1" min="5" max="5" width="18.0"/>
    <col customWidth="1" min="6" max="6" width="20.0"/>
    <col customWidth="1" min="7" max="7" width="18.0"/>
    <col customWidth="1" min="8" max="8" width="28.0"/>
    <col customWidth="1" min="9" max="9" width="22.0"/>
    <col customWidth="1" min="10" max="10" width="24.0"/>
    <col customWidth="1" min="11" max="11" width="32.0"/>
    <col customWidth="1" min="12" max="26" width="8.63"/>
  </cols>
  <sheetData>
    <row r="1">
      <c r="A1" s="1" t="s">
        <v>0</v>
      </c>
      <c r="I1" s="2"/>
      <c r="J1" s="2"/>
      <c r="K1" s="2"/>
    </row>
    <row r="3">
      <c r="A3" s="3" t="s">
        <v>1</v>
      </c>
      <c r="B3" s="3" t="s">
        <v>2</v>
      </c>
      <c r="C3" s="3" t="s">
        <v>3</v>
      </c>
      <c r="D3" s="3" t="s">
        <v>4</v>
      </c>
    </row>
    <row r="4">
      <c r="A4" s="4" t="s">
        <v>5</v>
      </c>
      <c r="B4" s="5" t="s">
        <v>6</v>
      </c>
      <c r="D4" s="4" t="s">
        <v>7</v>
      </c>
    </row>
    <row r="5">
      <c r="A5" s="4" t="s">
        <v>8</v>
      </c>
      <c r="B5" s="5">
        <v>45.0</v>
      </c>
      <c r="C5" s="4" t="s">
        <v>9</v>
      </c>
      <c r="D5" s="4" t="s">
        <v>10</v>
      </c>
    </row>
    <row r="6">
      <c r="A6" s="4" t="s">
        <v>11</v>
      </c>
      <c r="B6" s="5">
        <v>1.8</v>
      </c>
      <c r="C6" s="4" t="s">
        <v>12</v>
      </c>
    </row>
    <row r="7">
      <c r="A7" s="4" t="s">
        <v>13</v>
      </c>
      <c r="B7" s="5">
        <v>73.6</v>
      </c>
      <c r="C7" s="4" t="s">
        <v>14</v>
      </c>
      <c r="D7" s="4" t="s">
        <v>15</v>
      </c>
    </row>
    <row r="8">
      <c r="A8" s="4" t="s">
        <v>16</v>
      </c>
      <c r="B8" s="5">
        <v>14.7</v>
      </c>
      <c r="C8" s="4" t="s">
        <v>17</v>
      </c>
      <c r="D8" s="4" t="s">
        <v>18</v>
      </c>
    </row>
    <row r="9">
      <c r="A9" s="4" t="s">
        <v>19</v>
      </c>
      <c r="B9" s="5">
        <v>22.7</v>
      </c>
      <c r="D9" s="4" t="s">
        <v>18</v>
      </c>
    </row>
    <row r="10">
      <c r="A10" s="4" t="s">
        <v>20</v>
      </c>
      <c r="B10" s="5">
        <v>13.0</v>
      </c>
      <c r="C10" s="4" t="s">
        <v>17</v>
      </c>
      <c r="D10" s="4" t="s">
        <v>21</v>
      </c>
    </row>
    <row r="11">
      <c r="A11" s="4" t="s">
        <v>22</v>
      </c>
      <c r="B11" s="5" t="s">
        <v>23</v>
      </c>
      <c r="C11" s="4" t="s">
        <v>14</v>
      </c>
      <c r="D11" s="4" t="s">
        <v>24</v>
      </c>
    </row>
    <row r="12">
      <c r="A12" s="4" t="s">
        <v>25</v>
      </c>
      <c r="B12" s="5">
        <v>2300.0</v>
      </c>
      <c r="C12" s="4" t="s">
        <v>26</v>
      </c>
      <c r="D12" s="4" t="s">
        <v>27</v>
      </c>
    </row>
    <row r="13">
      <c r="A13" s="4" t="s">
        <v>28</v>
      </c>
      <c r="B13" s="5">
        <v>160.0</v>
      </c>
      <c r="C13" s="4" t="s">
        <v>29</v>
      </c>
      <c r="D13" s="4" t="s">
        <v>30</v>
      </c>
    </row>
    <row r="14">
      <c r="A14" s="4" t="s">
        <v>31</v>
      </c>
      <c r="B14" s="5">
        <v>70.0</v>
      </c>
      <c r="C14" s="4" t="s">
        <v>29</v>
      </c>
    </row>
    <row r="15">
      <c r="A15" s="4" t="s">
        <v>32</v>
      </c>
      <c r="B15" s="5">
        <v>260.0</v>
      </c>
      <c r="C15" s="4" t="s">
        <v>29</v>
      </c>
      <c r="D15" s="4" t="s">
        <v>33</v>
      </c>
    </row>
    <row r="16">
      <c r="B16" s="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4.0"/>
    <col customWidth="1" min="3" max="3" width="18.0"/>
    <col customWidth="1" min="4" max="4" width="24.0"/>
    <col customWidth="1" min="5" max="5" width="18.0"/>
    <col customWidth="1" min="6" max="6" width="20.0"/>
    <col customWidth="1" min="7" max="7" width="18.0"/>
    <col customWidth="1" min="8" max="8" width="28.0"/>
    <col customWidth="1" min="9" max="9" width="22.0"/>
    <col customWidth="1" min="10" max="10" width="24.0"/>
    <col customWidth="1" min="11" max="11" width="32.0"/>
    <col customWidth="1" min="12" max="26" width="8.63"/>
  </cols>
  <sheetData>
    <row r="1">
      <c r="A1" s="1" t="s">
        <v>34</v>
      </c>
    </row>
    <row r="3">
      <c r="A3" s="6" t="s">
        <v>35</v>
      </c>
      <c r="B3" s="6" t="s">
        <v>36</v>
      </c>
      <c r="C3" s="6" t="s">
        <v>37</v>
      </c>
      <c r="D3" s="6" t="s">
        <v>38</v>
      </c>
      <c r="E3" s="6" t="s">
        <v>39</v>
      </c>
      <c r="F3" s="6" t="s">
        <v>40</v>
      </c>
      <c r="G3" s="6" t="s">
        <v>41</v>
      </c>
      <c r="H3" s="6" t="s">
        <v>42</v>
      </c>
      <c r="I3" s="6" t="s">
        <v>43</v>
      </c>
      <c r="J3" s="6" t="s">
        <v>44</v>
      </c>
      <c r="K3" s="6" t="s">
        <v>45</v>
      </c>
    </row>
    <row r="4">
      <c r="A4" s="7">
        <v>1.0</v>
      </c>
      <c r="B4" s="8">
        <v>46203.0</v>
      </c>
      <c r="C4" s="9">
        <v>73.6</v>
      </c>
      <c r="D4" s="9">
        <v>14.7</v>
      </c>
      <c r="E4" s="7">
        <f t="shared" ref="E4:E27" si="1">IF(OR(C4="",D4=""),"",C4*D4/100)</f>
        <v>10.8192</v>
      </c>
      <c r="F4" s="7">
        <f t="shared" ref="F4:F27" si="2">IF(OR(C4="",E4=""),"",C4-E4)</f>
        <v>62.7808</v>
      </c>
      <c r="G4" s="7">
        <f>IF(C4="","",C4/(Perfil!$B$6^2))</f>
        <v>22.71604938</v>
      </c>
      <c r="H4" s="9">
        <v>12.0</v>
      </c>
      <c r="I4" s="9" t="s">
        <v>46</v>
      </c>
      <c r="J4" s="9">
        <f>IF(D4="","",Perfil!$B$12+IF(D4&gt;Perfil!$B$10,-100,IF(D4&lt;12.5,100,0)))</f>
        <v>2200</v>
      </c>
      <c r="K4" s="9"/>
    </row>
    <row r="5">
      <c r="A5" s="7">
        <v>2.0</v>
      </c>
      <c r="B5" s="8">
        <v>46210.0</v>
      </c>
      <c r="C5" s="9"/>
      <c r="D5" s="9"/>
      <c r="E5" s="7" t="str">
        <f t="shared" si="1"/>
        <v/>
      </c>
      <c r="F5" s="7" t="str">
        <f t="shared" si="2"/>
        <v/>
      </c>
      <c r="G5" s="7" t="str">
        <f>IF(C5="","",C5/(Perfil!$B$6^2))</f>
        <v/>
      </c>
      <c r="H5" s="9"/>
      <c r="I5" s="9"/>
      <c r="J5" s="9" t="str">
        <f>IF(D5="","",Perfil!$B$12+IF(D5&gt;Perfil!$B$10,-100,IF(D5&lt;12.5,100,0)))</f>
        <v/>
      </c>
      <c r="K5" s="9"/>
    </row>
    <row r="6">
      <c r="A6" s="7">
        <v>3.0</v>
      </c>
      <c r="B6" s="8">
        <v>46217.0</v>
      </c>
      <c r="C6" s="9"/>
      <c r="D6" s="9"/>
      <c r="E6" s="7" t="str">
        <f t="shared" si="1"/>
        <v/>
      </c>
      <c r="F6" s="7" t="str">
        <f t="shared" si="2"/>
        <v/>
      </c>
      <c r="G6" s="7" t="str">
        <f>IF(C6="","",C6/(Perfil!$B$6^2))</f>
        <v/>
      </c>
      <c r="H6" s="9"/>
      <c r="I6" s="9"/>
      <c r="J6" s="9" t="str">
        <f>IF(D6="","",Perfil!$B$12+IF(D6&gt;Perfil!$B$10,-100,IF(D6&lt;12.5,100,0)))</f>
        <v/>
      </c>
      <c r="K6" s="9"/>
    </row>
    <row r="7">
      <c r="A7" s="7">
        <v>4.0</v>
      </c>
      <c r="B7" s="8">
        <v>46224.0</v>
      </c>
      <c r="C7" s="9"/>
      <c r="D7" s="9"/>
      <c r="E7" s="7" t="str">
        <f t="shared" si="1"/>
        <v/>
      </c>
      <c r="F7" s="7" t="str">
        <f t="shared" si="2"/>
        <v/>
      </c>
      <c r="G7" s="7" t="str">
        <f>IF(C7="","",C7/(Perfil!$B$6^2))</f>
        <v/>
      </c>
      <c r="H7" s="9"/>
      <c r="I7" s="9"/>
      <c r="J7" s="9" t="str">
        <f>IF(D7="","",Perfil!$B$12+IF(D7&gt;Perfil!$B$10,-100,IF(D7&lt;12.5,100,0)))</f>
        <v/>
      </c>
      <c r="K7" s="9"/>
    </row>
    <row r="8">
      <c r="A8" s="7">
        <v>5.0</v>
      </c>
      <c r="B8" s="8">
        <v>46231.0</v>
      </c>
      <c r="C8" s="9"/>
      <c r="D8" s="9"/>
      <c r="E8" s="7" t="str">
        <f t="shared" si="1"/>
        <v/>
      </c>
      <c r="F8" s="7" t="str">
        <f t="shared" si="2"/>
        <v/>
      </c>
      <c r="G8" s="7" t="str">
        <f>IF(C8="","",C8/(Perfil!$B$6^2))</f>
        <v/>
      </c>
      <c r="H8" s="9"/>
      <c r="I8" s="9"/>
      <c r="J8" s="9" t="str">
        <f>IF(D8="","",Perfil!$B$12+IF(D8&gt;Perfil!$B$10,-100,IF(D8&lt;12.5,100,0)))</f>
        <v/>
      </c>
      <c r="K8" s="9"/>
    </row>
    <row r="9">
      <c r="A9" s="7">
        <v>6.0</v>
      </c>
      <c r="B9" s="8">
        <v>46238.0</v>
      </c>
      <c r="C9" s="9"/>
      <c r="D9" s="9"/>
      <c r="E9" s="7" t="str">
        <f t="shared" si="1"/>
        <v/>
      </c>
      <c r="F9" s="7" t="str">
        <f t="shared" si="2"/>
        <v/>
      </c>
      <c r="G9" s="7" t="str">
        <f>IF(C9="","",C9/(Perfil!$B$6^2))</f>
        <v/>
      </c>
      <c r="H9" s="9"/>
      <c r="I9" s="9"/>
      <c r="J9" s="9" t="str">
        <f>IF(D9="","",Perfil!$B$12+IF(D9&gt;Perfil!$B$10,-100,IF(D9&lt;12.5,100,0)))</f>
        <v/>
      </c>
      <c r="K9" s="9"/>
    </row>
    <row r="10">
      <c r="A10" s="7">
        <v>7.0</v>
      </c>
      <c r="B10" s="8">
        <v>46245.0</v>
      </c>
      <c r="C10" s="9"/>
      <c r="D10" s="9"/>
      <c r="E10" s="7" t="str">
        <f t="shared" si="1"/>
        <v/>
      </c>
      <c r="F10" s="7" t="str">
        <f t="shared" si="2"/>
        <v/>
      </c>
      <c r="G10" s="7" t="str">
        <f>IF(C10="","",C10/(Perfil!$B$6^2))</f>
        <v/>
      </c>
      <c r="H10" s="9"/>
      <c r="I10" s="9"/>
      <c r="J10" s="9" t="str">
        <f>IF(D10="","",Perfil!$B$12+IF(D10&gt;Perfil!$B$10,-100,IF(D10&lt;12.5,100,0)))</f>
        <v/>
      </c>
      <c r="K10" s="9"/>
    </row>
    <row r="11">
      <c r="A11" s="7">
        <v>8.0</v>
      </c>
      <c r="B11" s="8">
        <v>46252.0</v>
      </c>
      <c r="C11" s="9"/>
      <c r="D11" s="9"/>
      <c r="E11" s="7" t="str">
        <f t="shared" si="1"/>
        <v/>
      </c>
      <c r="F11" s="7" t="str">
        <f t="shared" si="2"/>
        <v/>
      </c>
      <c r="G11" s="7" t="str">
        <f>IF(C11="","",C11/(Perfil!$B$6^2))</f>
        <v/>
      </c>
      <c r="H11" s="9"/>
      <c r="I11" s="9"/>
      <c r="J11" s="9" t="str">
        <f>IF(D11="","",Perfil!$B$12+IF(D11&gt;Perfil!$B$10,-100,IF(D11&lt;12.5,100,0)))</f>
        <v/>
      </c>
      <c r="K11" s="9"/>
    </row>
    <row r="12">
      <c r="A12" s="7">
        <v>9.0</v>
      </c>
      <c r="B12" s="8">
        <v>46259.0</v>
      </c>
      <c r="C12" s="9"/>
      <c r="D12" s="9"/>
      <c r="E12" s="7" t="str">
        <f t="shared" si="1"/>
        <v/>
      </c>
      <c r="F12" s="7" t="str">
        <f t="shared" si="2"/>
        <v/>
      </c>
      <c r="G12" s="7" t="str">
        <f>IF(C12="","",C12/(Perfil!$B$6^2))</f>
        <v/>
      </c>
      <c r="H12" s="9"/>
      <c r="I12" s="9"/>
      <c r="J12" s="9" t="str">
        <f>IF(D12="","",Perfil!$B$12+IF(D12&gt;Perfil!$B$10,-100,IF(D12&lt;12.5,100,0)))</f>
        <v/>
      </c>
      <c r="K12" s="9"/>
    </row>
    <row r="13">
      <c r="A13" s="7">
        <v>10.0</v>
      </c>
      <c r="B13" s="8">
        <v>46266.0</v>
      </c>
      <c r="C13" s="9"/>
      <c r="D13" s="9"/>
      <c r="E13" s="7" t="str">
        <f t="shared" si="1"/>
        <v/>
      </c>
      <c r="F13" s="7" t="str">
        <f t="shared" si="2"/>
        <v/>
      </c>
      <c r="G13" s="7" t="str">
        <f>IF(C13="","",C13/(Perfil!$B$6^2))</f>
        <v/>
      </c>
      <c r="H13" s="9"/>
      <c r="I13" s="9"/>
      <c r="J13" s="9" t="str">
        <f>IF(D13="","",Perfil!$B$12+IF(D13&gt;Perfil!$B$10,-100,IF(D13&lt;12.5,100,0)))</f>
        <v/>
      </c>
      <c r="K13" s="9"/>
    </row>
    <row r="14">
      <c r="A14" s="7">
        <v>11.0</v>
      </c>
      <c r="B14" s="8">
        <v>46273.0</v>
      </c>
      <c r="C14" s="9"/>
      <c r="D14" s="9"/>
      <c r="E14" s="7" t="str">
        <f t="shared" si="1"/>
        <v/>
      </c>
      <c r="F14" s="7" t="str">
        <f t="shared" si="2"/>
        <v/>
      </c>
      <c r="G14" s="7" t="str">
        <f>IF(C14="","",C14/(Perfil!$B$6^2))</f>
        <v/>
      </c>
      <c r="H14" s="9"/>
      <c r="I14" s="9"/>
      <c r="J14" s="9" t="str">
        <f>IF(D14="","",Perfil!$B$12+IF(D14&gt;Perfil!$B$10,-100,IF(D14&lt;12.5,100,0)))</f>
        <v/>
      </c>
      <c r="K14" s="9"/>
    </row>
    <row r="15">
      <c r="A15" s="7">
        <v>12.0</v>
      </c>
      <c r="B15" s="8">
        <v>46280.0</v>
      </c>
      <c r="C15" s="9"/>
      <c r="D15" s="9"/>
      <c r="E15" s="7" t="str">
        <f t="shared" si="1"/>
        <v/>
      </c>
      <c r="F15" s="7" t="str">
        <f t="shared" si="2"/>
        <v/>
      </c>
      <c r="G15" s="7" t="str">
        <f>IF(C15="","",C15/(Perfil!$B$6^2))</f>
        <v/>
      </c>
      <c r="H15" s="9"/>
      <c r="I15" s="9"/>
      <c r="J15" s="9" t="str">
        <f>IF(D15="","",Perfil!$B$12+IF(D15&gt;Perfil!$B$10,-100,IF(D15&lt;12.5,100,0)))</f>
        <v/>
      </c>
      <c r="K15" s="9"/>
    </row>
    <row r="16">
      <c r="A16" s="7">
        <v>13.0</v>
      </c>
      <c r="B16" s="8">
        <v>46287.0</v>
      </c>
      <c r="C16" s="9"/>
      <c r="D16" s="9"/>
      <c r="E16" s="7" t="str">
        <f t="shared" si="1"/>
        <v/>
      </c>
      <c r="F16" s="7" t="str">
        <f t="shared" si="2"/>
        <v/>
      </c>
      <c r="G16" s="7" t="str">
        <f>IF(C16="","",C16/(Perfil!$B$6^2))</f>
        <v/>
      </c>
      <c r="H16" s="9"/>
      <c r="I16" s="9"/>
      <c r="J16" s="9" t="str">
        <f>IF(D16="","",Perfil!$B$12+IF(D16&gt;Perfil!$B$10,-100,IF(D16&lt;12.5,100,0)))</f>
        <v/>
      </c>
      <c r="K16" s="9"/>
    </row>
    <row r="17">
      <c r="A17" s="7">
        <v>14.0</v>
      </c>
      <c r="B17" s="8">
        <v>46294.0</v>
      </c>
      <c r="C17" s="9"/>
      <c r="D17" s="9"/>
      <c r="E17" s="7" t="str">
        <f t="shared" si="1"/>
        <v/>
      </c>
      <c r="F17" s="7" t="str">
        <f t="shared" si="2"/>
        <v/>
      </c>
      <c r="G17" s="7" t="str">
        <f>IF(C17="","",C17/(Perfil!$B$6^2))</f>
        <v/>
      </c>
      <c r="H17" s="9"/>
      <c r="I17" s="9"/>
      <c r="J17" s="9" t="str">
        <f>IF(D17="","",Perfil!$B$12+IF(D17&gt;Perfil!$B$10,-100,IF(D17&lt;12.5,100,0)))</f>
        <v/>
      </c>
      <c r="K17" s="9"/>
    </row>
    <row r="18">
      <c r="A18" s="7">
        <v>15.0</v>
      </c>
      <c r="B18" s="8">
        <v>46301.0</v>
      </c>
      <c r="C18" s="9"/>
      <c r="D18" s="9"/>
      <c r="E18" s="7" t="str">
        <f t="shared" si="1"/>
        <v/>
      </c>
      <c r="F18" s="7" t="str">
        <f t="shared" si="2"/>
        <v/>
      </c>
      <c r="G18" s="7" t="str">
        <f>IF(C18="","",C18/(Perfil!$B$6^2))</f>
        <v/>
      </c>
      <c r="H18" s="9"/>
      <c r="I18" s="9"/>
      <c r="J18" s="9" t="str">
        <f>IF(D18="","",Perfil!$B$12+IF(D18&gt;Perfil!$B$10,-100,IF(D18&lt;12.5,100,0)))</f>
        <v/>
      </c>
      <c r="K18" s="9"/>
    </row>
    <row r="19">
      <c r="A19" s="7">
        <v>16.0</v>
      </c>
      <c r="B19" s="8">
        <v>46308.0</v>
      </c>
      <c r="C19" s="9"/>
      <c r="D19" s="9"/>
      <c r="E19" s="7" t="str">
        <f t="shared" si="1"/>
        <v/>
      </c>
      <c r="F19" s="7" t="str">
        <f t="shared" si="2"/>
        <v/>
      </c>
      <c r="G19" s="7" t="str">
        <f>IF(C19="","",C19/(Perfil!$B$6^2))</f>
        <v/>
      </c>
      <c r="H19" s="9"/>
      <c r="I19" s="9"/>
      <c r="J19" s="9" t="str">
        <f>IF(D19="","",Perfil!$B$12+IF(D19&gt;Perfil!$B$10,-100,IF(D19&lt;12.5,100,0)))</f>
        <v/>
      </c>
      <c r="K19" s="9"/>
    </row>
    <row r="20">
      <c r="A20" s="7">
        <v>17.0</v>
      </c>
      <c r="B20" s="8">
        <v>46315.0</v>
      </c>
      <c r="C20" s="9"/>
      <c r="D20" s="9"/>
      <c r="E20" s="7" t="str">
        <f t="shared" si="1"/>
        <v/>
      </c>
      <c r="F20" s="7" t="str">
        <f t="shared" si="2"/>
        <v/>
      </c>
      <c r="G20" s="7" t="str">
        <f>IF(C20="","",C20/(Perfil!$B$6^2))</f>
        <v/>
      </c>
      <c r="H20" s="9"/>
      <c r="I20" s="9"/>
      <c r="J20" s="9" t="str">
        <f>IF(D20="","",Perfil!$B$12+IF(D20&gt;Perfil!$B$10,-100,IF(D20&lt;12.5,100,0)))</f>
        <v/>
      </c>
      <c r="K20" s="9"/>
    </row>
    <row r="21" ht="15.75" customHeight="1">
      <c r="A21" s="7">
        <v>18.0</v>
      </c>
      <c r="B21" s="8">
        <v>46322.0</v>
      </c>
      <c r="C21" s="9"/>
      <c r="D21" s="9"/>
      <c r="E21" s="7" t="str">
        <f t="shared" si="1"/>
        <v/>
      </c>
      <c r="F21" s="7" t="str">
        <f t="shared" si="2"/>
        <v/>
      </c>
      <c r="G21" s="7" t="str">
        <f>IF(C21="","",C21/(Perfil!$B$6^2))</f>
        <v/>
      </c>
      <c r="H21" s="9"/>
      <c r="I21" s="9"/>
      <c r="J21" s="9" t="str">
        <f>IF(D21="","",Perfil!$B$12+IF(D21&gt;Perfil!$B$10,-100,IF(D21&lt;12.5,100,0)))</f>
        <v/>
      </c>
      <c r="K21" s="9"/>
    </row>
    <row r="22" ht="15.75" customHeight="1">
      <c r="A22" s="7">
        <v>19.0</v>
      </c>
      <c r="B22" s="8">
        <v>46329.0</v>
      </c>
      <c r="C22" s="9"/>
      <c r="D22" s="9"/>
      <c r="E22" s="7" t="str">
        <f t="shared" si="1"/>
        <v/>
      </c>
      <c r="F22" s="7" t="str">
        <f t="shared" si="2"/>
        <v/>
      </c>
      <c r="G22" s="7" t="str">
        <f>IF(C22="","",C22/(Perfil!$B$6^2))</f>
        <v/>
      </c>
      <c r="H22" s="9"/>
      <c r="I22" s="9"/>
      <c r="J22" s="9" t="str">
        <f>IF(D22="","",Perfil!$B$12+IF(D22&gt;Perfil!$B$10,-100,IF(D22&lt;12.5,100,0)))</f>
        <v/>
      </c>
      <c r="K22" s="9"/>
    </row>
    <row r="23" ht="15.75" customHeight="1">
      <c r="A23" s="7">
        <v>20.0</v>
      </c>
      <c r="B23" s="8">
        <v>46336.0</v>
      </c>
      <c r="C23" s="9"/>
      <c r="D23" s="9"/>
      <c r="E23" s="7" t="str">
        <f t="shared" si="1"/>
        <v/>
      </c>
      <c r="F23" s="7" t="str">
        <f t="shared" si="2"/>
        <v/>
      </c>
      <c r="G23" s="7" t="str">
        <f>IF(C23="","",C23/(Perfil!$B$6^2))</f>
        <v/>
      </c>
      <c r="H23" s="9"/>
      <c r="I23" s="9"/>
      <c r="J23" s="9" t="str">
        <f>IF(D23="","",Perfil!$B$12+IF(D23&gt;Perfil!$B$10,-100,IF(D23&lt;12.5,100,0)))</f>
        <v/>
      </c>
      <c r="K23" s="9"/>
    </row>
    <row r="24" ht="15.75" customHeight="1">
      <c r="A24" s="7">
        <v>21.0</v>
      </c>
      <c r="B24" s="8">
        <v>46343.0</v>
      </c>
      <c r="C24" s="9"/>
      <c r="D24" s="9"/>
      <c r="E24" s="7" t="str">
        <f t="shared" si="1"/>
        <v/>
      </c>
      <c r="F24" s="7" t="str">
        <f t="shared" si="2"/>
        <v/>
      </c>
      <c r="G24" s="7" t="str">
        <f>IF(C24="","",C24/(Perfil!$B$6^2))</f>
        <v/>
      </c>
      <c r="H24" s="9"/>
      <c r="I24" s="9"/>
      <c r="J24" s="9" t="str">
        <f>IF(D24="","",Perfil!$B$12+IF(D24&gt;Perfil!$B$10,-100,IF(D24&lt;12.5,100,0)))</f>
        <v/>
      </c>
      <c r="K24" s="9"/>
    </row>
    <row r="25" ht="15.75" customHeight="1">
      <c r="A25" s="7">
        <v>22.0</v>
      </c>
      <c r="B25" s="8">
        <v>46350.0</v>
      </c>
      <c r="C25" s="9"/>
      <c r="D25" s="9"/>
      <c r="E25" s="7" t="str">
        <f t="shared" si="1"/>
        <v/>
      </c>
      <c r="F25" s="7" t="str">
        <f t="shared" si="2"/>
        <v/>
      </c>
      <c r="G25" s="7" t="str">
        <f>IF(C25="","",C25/(Perfil!$B$6^2))</f>
        <v/>
      </c>
      <c r="H25" s="9"/>
      <c r="I25" s="9"/>
      <c r="J25" s="9" t="str">
        <f>IF(D25="","",Perfil!$B$12+IF(D25&gt;Perfil!$B$10,-100,IF(D25&lt;12.5,100,0)))</f>
        <v/>
      </c>
      <c r="K25" s="9"/>
    </row>
    <row r="26" ht="15.75" customHeight="1">
      <c r="A26" s="7">
        <v>23.0</v>
      </c>
      <c r="B26" s="8">
        <v>46357.0</v>
      </c>
      <c r="C26" s="9"/>
      <c r="D26" s="9"/>
      <c r="E26" s="7" t="str">
        <f t="shared" si="1"/>
        <v/>
      </c>
      <c r="F26" s="7" t="str">
        <f t="shared" si="2"/>
        <v/>
      </c>
      <c r="G26" s="7" t="str">
        <f>IF(C26="","",C26/(Perfil!$B$6^2))</f>
        <v/>
      </c>
      <c r="H26" s="9"/>
      <c r="I26" s="9"/>
      <c r="J26" s="9" t="str">
        <f>IF(D26="","",Perfil!$B$12+IF(D26&gt;Perfil!$B$10,-100,IF(D26&lt;12.5,100,0)))</f>
        <v/>
      </c>
      <c r="K26" s="9"/>
    </row>
    <row r="27" ht="15.75" customHeight="1">
      <c r="A27" s="7">
        <v>24.0</v>
      </c>
      <c r="B27" s="8">
        <v>46364.0</v>
      </c>
      <c r="C27" s="9"/>
      <c r="D27" s="9"/>
      <c r="E27" s="7" t="str">
        <f t="shared" si="1"/>
        <v/>
      </c>
      <c r="F27" s="7" t="str">
        <f t="shared" si="2"/>
        <v/>
      </c>
      <c r="G27" s="7" t="str">
        <f>IF(C27="","",C27/(Perfil!$B$6^2))</f>
        <v/>
      </c>
      <c r="H27" s="9"/>
      <c r="I27" s="9"/>
      <c r="J27" s="9" t="str">
        <f>IF(D27="","",Perfil!$B$12+IF(D27&gt;Perfil!$B$10,-100,IF(D27&lt;12.5,100,0)))</f>
        <v/>
      </c>
      <c r="K27" s="9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K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4.0"/>
    <col customWidth="1" min="3" max="3" width="18.0"/>
    <col customWidth="1" min="4" max="4" width="24.0"/>
    <col customWidth="1" min="5" max="5" width="18.0"/>
    <col customWidth="1" min="6" max="6" width="20.0"/>
    <col customWidth="1" min="7" max="7" width="18.0"/>
    <col customWidth="1" min="8" max="8" width="28.0"/>
    <col customWidth="1" min="9" max="9" width="22.0"/>
    <col customWidth="1" min="10" max="10" width="24.0"/>
    <col customWidth="1" min="11" max="11" width="32.0"/>
    <col customWidth="1" min="12" max="26" width="8.63"/>
  </cols>
  <sheetData>
    <row r="1">
      <c r="A1" s="1" t="s">
        <v>47</v>
      </c>
      <c r="I1" s="2"/>
      <c r="J1" s="2"/>
      <c r="K1" s="2"/>
    </row>
    <row r="3">
      <c r="A3" s="3" t="s">
        <v>48</v>
      </c>
      <c r="B3" s="3" t="s">
        <v>2</v>
      </c>
      <c r="C3" s="3" t="s">
        <v>49</v>
      </c>
      <c r="D3" s="3" t="s">
        <v>50</v>
      </c>
    </row>
    <row r="4">
      <c r="A4" s="4" t="s">
        <v>51</v>
      </c>
      <c r="B4" s="10">
        <f>LOOKUP(2,1/(Seguimiento!C4:C27&lt;&gt;""),Seguimiento!C4:C27)</f>
        <v>73.6</v>
      </c>
      <c r="C4" s="4" t="s">
        <v>52</v>
      </c>
      <c r="D4" s="4" t="str">
        <f>IF(B4&lt;73,"Subir kcal",IF(B4&gt;75,"Revisar déficit","OK"))</f>
        <v>OK</v>
      </c>
    </row>
    <row r="5">
      <c r="A5" s="4" t="s">
        <v>53</v>
      </c>
      <c r="B5" s="10" t="str">
        <f>LOOKUP(2,1/(Seguimiento!D4:D27&lt;&gt;""),Seguimiento!D4:D27)</f>
        <v>#N/A</v>
      </c>
      <c r="C5" s="4" t="s">
        <v>54</v>
      </c>
      <c r="D5" s="4" t="str">
        <f>IF(B5&gt;14,"Bajar suave",IF(B5&lt;12,"No apretar más","OK"))</f>
        <v>#N/A</v>
      </c>
    </row>
    <row r="6">
      <c r="A6" s="4" t="s">
        <v>55</v>
      </c>
      <c r="B6" s="10" t="str">
        <f>LOOKUP(2,1/(Seguimiento!F4:F27&lt;&gt;""),Seguimiento!F4:F27)</f>
        <v>#N/A</v>
      </c>
      <c r="C6" s="4" t="s">
        <v>56</v>
      </c>
      <c r="D6" s="4" t="str">
        <f>IF(B6&lt;62,"Vigilar proteína/fuerza","OK")</f>
        <v>#N/A</v>
      </c>
    </row>
    <row r="7">
      <c r="A7" s="4" t="s">
        <v>41</v>
      </c>
      <c r="B7" s="10" t="str">
        <f>LOOKUP(2,1/(Seguimiento!G4:G27&lt;&gt;""),Seguimiento!G4:G27)</f>
        <v>#N/A</v>
      </c>
      <c r="C7" s="4" t="s">
        <v>57</v>
      </c>
      <c r="D7" s="4" t="str">
        <f>IF(AND(B7&gt;=22,B7&lt;=23),"OK","Revisar")</f>
        <v>#N/A</v>
      </c>
    </row>
    <row r="8">
      <c r="A8" s="4" t="s">
        <v>44</v>
      </c>
      <c r="B8" s="10" t="str">
        <f>LOOKUP(2,1/(Seguimiento!J4:J27&lt;&gt;""),Seguimiento!J4:J27)</f>
        <v>#N/A</v>
      </c>
      <c r="C8" s="4" t="s">
        <v>58</v>
      </c>
      <c r="D8" s="4" t="s">
        <v>59</v>
      </c>
    </row>
    <row r="9">
      <c r="A9" s="4" t="s">
        <v>60</v>
      </c>
      <c r="B9" s="11">
        <f>Compra!G30</f>
        <v>104.109</v>
      </c>
      <c r="C9" s="4" t="s">
        <v>61</v>
      </c>
      <c r="D9" s="4" t="str">
        <f>IF(B9&gt;120,"Caro: revisar salmón/frutos secos","OK")</f>
        <v>OK</v>
      </c>
    </row>
    <row r="12">
      <c r="A12" s="2" t="s">
        <v>62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12:H13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0.75"/>
    <col customWidth="1" min="3" max="3" width="8.38"/>
    <col customWidth="1" min="4" max="4" width="8.63"/>
    <col customWidth="1" min="5" max="5" width="7.63"/>
    <col customWidth="1" min="6" max="6" width="9.75"/>
    <col customWidth="1" min="7" max="7" width="7.38"/>
    <col customWidth="1" min="8" max="8" width="9.5"/>
    <col customWidth="1" min="9" max="9" width="9.75"/>
    <col customWidth="1" min="10" max="10" width="24.0"/>
    <col customWidth="1" min="11" max="11" width="32.0"/>
    <col customWidth="1" min="12" max="26" width="8.63"/>
  </cols>
  <sheetData>
    <row r="1">
      <c r="A1" s="1" t="s">
        <v>63</v>
      </c>
      <c r="J1" s="2"/>
      <c r="K1" s="2"/>
    </row>
    <row r="3">
      <c r="A3" s="6" t="s">
        <v>64</v>
      </c>
      <c r="B3" s="6" t="s">
        <v>65</v>
      </c>
      <c r="C3" s="6" t="s">
        <v>66</v>
      </c>
      <c r="D3" s="6" t="s">
        <v>67</v>
      </c>
      <c r="E3" s="6" t="s">
        <v>68</v>
      </c>
      <c r="F3" s="6" t="s">
        <v>69</v>
      </c>
      <c r="G3" s="6" t="s">
        <v>70</v>
      </c>
      <c r="H3" s="6" t="s">
        <v>71</v>
      </c>
      <c r="I3" s="6" t="s">
        <v>72</v>
      </c>
    </row>
    <row r="4">
      <c r="A4" s="7" t="s">
        <v>73</v>
      </c>
      <c r="B4" s="7" t="s">
        <v>74</v>
      </c>
      <c r="C4" s="7">
        <v>370.0</v>
      </c>
      <c r="D4" s="7">
        <v>13.0</v>
      </c>
      <c r="E4" s="7">
        <v>60.0</v>
      </c>
      <c r="F4" s="7">
        <v>7.0</v>
      </c>
      <c r="G4" s="7">
        <v>60.0</v>
      </c>
      <c r="H4" s="7">
        <f t="shared" ref="H4:H26" si="1">C4*G4/100</f>
        <v>222</v>
      </c>
      <c r="I4" s="7">
        <f t="shared" ref="I4:I26" si="2">D4*G4/100</f>
        <v>7.8</v>
      </c>
    </row>
    <row r="5">
      <c r="A5" s="7" t="s">
        <v>75</v>
      </c>
      <c r="B5" s="7" t="s">
        <v>76</v>
      </c>
      <c r="C5" s="7">
        <v>390.0</v>
      </c>
      <c r="D5" s="7">
        <v>78.0</v>
      </c>
      <c r="E5" s="7">
        <v>8.0</v>
      </c>
      <c r="F5" s="7">
        <v>6.0</v>
      </c>
      <c r="G5" s="7">
        <v>30.0</v>
      </c>
      <c r="H5" s="7">
        <f t="shared" si="1"/>
        <v>117</v>
      </c>
      <c r="I5" s="7">
        <f t="shared" si="2"/>
        <v>23.4</v>
      </c>
    </row>
    <row r="6">
      <c r="A6" s="7" t="s">
        <v>77</v>
      </c>
      <c r="B6" s="7" t="s">
        <v>78</v>
      </c>
      <c r="C6" s="7">
        <v>89.0</v>
      </c>
      <c r="D6" s="7">
        <v>1.1</v>
      </c>
      <c r="E6" s="7">
        <v>23.0</v>
      </c>
      <c r="F6" s="7">
        <v>0.3</v>
      </c>
      <c r="G6" s="7">
        <v>120.0</v>
      </c>
      <c r="H6" s="7">
        <f t="shared" si="1"/>
        <v>106.8</v>
      </c>
      <c r="I6" s="7">
        <f t="shared" si="2"/>
        <v>1.32</v>
      </c>
    </row>
    <row r="7">
      <c r="A7" s="7" t="s">
        <v>79</v>
      </c>
      <c r="B7" s="7" t="s">
        <v>76</v>
      </c>
      <c r="C7" s="7">
        <v>143.0</v>
      </c>
      <c r="D7" s="7">
        <v>13.0</v>
      </c>
      <c r="E7" s="7">
        <v>1.0</v>
      </c>
      <c r="F7" s="7">
        <v>10.0</v>
      </c>
      <c r="G7" s="7">
        <v>120.0</v>
      </c>
      <c r="H7" s="7">
        <f t="shared" si="1"/>
        <v>171.6</v>
      </c>
      <c r="I7" s="7">
        <f t="shared" si="2"/>
        <v>15.6</v>
      </c>
    </row>
    <row r="8">
      <c r="A8" s="7" t="s">
        <v>80</v>
      </c>
      <c r="B8" s="7" t="s">
        <v>76</v>
      </c>
      <c r="C8" s="7">
        <v>48.0</v>
      </c>
      <c r="D8" s="7">
        <v>10.5</v>
      </c>
      <c r="E8" s="7">
        <v>0.7</v>
      </c>
      <c r="F8" s="7">
        <v>0.2</v>
      </c>
      <c r="G8" s="7">
        <v>150.0</v>
      </c>
      <c r="H8" s="7">
        <f t="shared" si="1"/>
        <v>72</v>
      </c>
      <c r="I8" s="7">
        <f t="shared" si="2"/>
        <v>15.75</v>
      </c>
    </row>
    <row r="9">
      <c r="A9" s="7" t="s">
        <v>81</v>
      </c>
      <c r="B9" s="7" t="s">
        <v>76</v>
      </c>
      <c r="C9" s="7">
        <v>46.0</v>
      </c>
      <c r="D9" s="7">
        <v>8.5</v>
      </c>
      <c r="E9" s="7">
        <v>3.5</v>
      </c>
      <c r="F9" s="7">
        <v>0.1</v>
      </c>
      <c r="G9" s="7">
        <v>250.0</v>
      </c>
      <c r="H9" s="7">
        <f t="shared" si="1"/>
        <v>115</v>
      </c>
      <c r="I9" s="7">
        <f t="shared" si="2"/>
        <v>21.25</v>
      </c>
    </row>
    <row r="10">
      <c r="A10" s="7" t="s">
        <v>82</v>
      </c>
      <c r="B10" s="7" t="s">
        <v>76</v>
      </c>
      <c r="C10" s="7">
        <v>59.0</v>
      </c>
      <c r="D10" s="7">
        <v>10.0</v>
      </c>
      <c r="E10" s="7">
        <v>4.0</v>
      </c>
      <c r="F10" s="7">
        <v>0.2</v>
      </c>
      <c r="G10" s="7">
        <v>200.0</v>
      </c>
      <c r="H10" s="7">
        <f t="shared" si="1"/>
        <v>118</v>
      </c>
      <c r="I10" s="7">
        <f t="shared" si="2"/>
        <v>20</v>
      </c>
    </row>
    <row r="11">
      <c r="A11" s="7" t="s">
        <v>83</v>
      </c>
      <c r="B11" s="7" t="s">
        <v>76</v>
      </c>
      <c r="C11" s="7">
        <v>110.0</v>
      </c>
      <c r="D11" s="7">
        <v>23.0</v>
      </c>
      <c r="E11" s="7">
        <v>0.0</v>
      </c>
      <c r="F11" s="7">
        <v>2.0</v>
      </c>
      <c r="G11" s="7">
        <v>200.0</v>
      </c>
      <c r="H11" s="7">
        <f t="shared" si="1"/>
        <v>220</v>
      </c>
      <c r="I11" s="7">
        <f t="shared" si="2"/>
        <v>46</v>
      </c>
    </row>
    <row r="12">
      <c r="A12" s="7" t="s">
        <v>84</v>
      </c>
      <c r="B12" s="7" t="s">
        <v>76</v>
      </c>
      <c r="C12" s="7">
        <v>105.0</v>
      </c>
      <c r="D12" s="7">
        <v>22.0</v>
      </c>
      <c r="E12" s="7">
        <v>1.0</v>
      </c>
      <c r="F12" s="7">
        <v>2.0</v>
      </c>
      <c r="G12" s="7">
        <v>150.0</v>
      </c>
      <c r="H12" s="7">
        <f t="shared" si="1"/>
        <v>157.5</v>
      </c>
      <c r="I12" s="7">
        <f t="shared" si="2"/>
        <v>33</v>
      </c>
    </row>
    <row r="13">
      <c r="A13" s="7" t="s">
        <v>85</v>
      </c>
      <c r="B13" s="7" t="s">
        <v>76</v>
      </c>
      <c r="C13" s="7">
        <v>116.0</v>
      </c>
      <c r="D13" s="7">
        <v>25.0</v>
      </c>
      <c r="E13" s="7">
        <v>0.0</v>
      </c>
      <c r="F13" s="7">
        <v>1.0</v>
      </c>
      <c r="G13" s="7">
        <v>120.0</v>
      </c>
      <c r="H13" s="7">
        <f t="shared" si="1"/>
        <v>139.2</v>
      </c>
      <c r="I13" s="7">
        <f t="shared" si="2"/>
        <v>30</v>
      </c>
    </row>
    <row r="14">
      <c r="A14" s="7" t="s">
        <v>86</v>
      </c>
      <c r="B14" s="7" t="s">
        <v>76</v>
      </c>
      <c r="C14" s="7">
        <v>74.0</v>
      </c>
      <c r="D14" s="7">
        <v>16.0</v>
      </c>
      <c r="E14" s="7">
        <v>0.0</v>
      </c>
      <c r="F14" s="7">
        <v>1.0</v>
      </c>
      <c r="G14" s="7">
        <v>200.0</v>
      </c>
      <c r="H14" s="7">
        <f t="shared" si="1"/>
        <v>148</v>
      </c>
      <c r="I14" s="7">
        <f t="shared" si="2"/>
        <v>32</v>
      </c>
    </row>
    <row r="15">
      <c r="A15" s="7" t="s">
        <v>87</v>
      </c>
      <c r="B15" s="7" t="s">
        <v>76</v>
      </c>
      <c r="C15" s="7">
        <v>208.0</v>
      </c>
      <c r="D15" s="7">
        <v>20.0</v>
      </c>
      <c r="E15" s="7">
        <v>0.0</v>
      </c>
      <c r="F15" s="7">
        <v>13.0</v>
      </c>
      <c r="G15" s="7">
        <v>180.0</v>
      </c>
      <c r="H15" s="7">
        <f t="shared" si="1"/>
        <v>374.4</v>
      </c>
      <c r="I15" s="7">
        <f t="shared" si="2"/>
        <v>36</v>
      </c>
    </row>
    <row r="16">
      <c r="A16" s="7" t="s">
        <v>88</v>
      </c>
      <c r="B16" s="7" t="s">
        <v>74</v>
      </c>
      <c r="C16" s="7">
        <v>360.0</v>
      </c>
      <c r="D16" s="7">
        <v>7.0</v>
      </c>
      <c r="E16" s="7">
        <v>79.0</v>
      </c>
      <c r="F16" s="7">
        <v>1.0</v>
      </c>
      <c r="G16" s="7">
        <v>80.0</v>
      </c>
      <c r="H16" s="7">
        <f t="shared" si="1"/>
        <v>288</v>
      </c>
      <c r="I16" s="7">
        <f t="shared" si="2"/>
        <v>5.6</v>
      </c>
    </row>
    <row r="17">
      <c r="A17" s="7" t="s">
        <v>89</v>
      </c>
      <c r="B17" s="7" t="s">
        <v>74</v>
      </c>
      <c r="C17" s="7">
        <v>350.0</v>
      </c>
      <c r="D17" s="7">
        <v>13.0</v>
      </c>
      <c r="E17" s="7">
        <v>70.0</v>
      </c>
      <c r="F17" s="7">
        <v>2.0</v>
      </c>
      <c r="G17" s="7">
        <v>80.0</v>
      </c>
      <c r="H17" s="7">
        <f t="shared" si="1"/>
        <v>280</v>
      </c>
      <c r="I17" s="7">
        <f t="shared" si="2"/>
        <v>10.4</v>
      </c>
    </row>
    <row r="18">
      <c r="A18" s="7" t="s">
        <v>90</v>
      </c>
      <c r="B18" s="7" t="s">
        <v>74</v>
      </c>
      <c r="C18" s="7">
        <v>77.0</v>
      </c>
      <c r="D18" s="7">
        <v>2.0</v>
      </c>
      <c r="E18" s="7">
        <v>17.0</v>
      </c>
      <c r="F18" s="7">
        <v>0.1</v>
      </c>
      <c r="G18" s="7">
        <v>300.0</v>
      </c>
      <c r="H18" s="7">
        <f t="shared" si="1"/>
        <v>231</v>
      </c>
      <c r="I18" s="7">
        <f t="shared" si="2"/>
        <v>6</v>
      </c>
    </row>
    <row r="19">
      <c r="A19" s="7" t="s">
        <v>91</v>
      </c>
      <c r="B19" s="7" t="s">
        <v>74</v>
      </c>
      <c r="C19" s="7">
        <v>86.0</v>
      </c>
      <c r="D19" s="7">
        <v>1.6</v>
      </c>
      <c r="E19" s="7">
        <v>20.0</v>
      </c>
      <c r="F19" s="7">
        <v>0.1</v>
      </c>
      <c r="G19" s="7">
        <v>250.0</v>
      </c>
      <c r="H19" s="7">
        <f t="shared" si="1"/>
        <v>215</v>
      </c>
      <c r="I19" s="7">
        <f t="shared" si="2"/>
        <v>4</v>
      </c>
    </row>
    <row r="20">
      <c r="A20" s="7" t="s">
        <v>92</v>
      </c>
      <c r="B20" s="7" t="s">
        <v>74</v>
      </c>
      <c r="C20" s="7">
        <v>250.0</v>
      </c>
      <c r="D20" s="7">
        <v>9.0</v>
      </c>
      <c r="E20" s="7">
        <v>44.0</v>
      </c>
      <c r="F20" s="7">
        <v>4.0</v>
      </c>
      <c r="G20" s="7">
        <v>80.0</v>
      </c>
      <c r="H20" s="7">
        <f t="shared" si="1"/>
        <v>200</v>
      </c>
      <c r="I20" s="7">
        <f t="shared" si="2"/>
        <v>7.2</v>
      </c>
    </row>
    <row r="21" ht="15.75" customHeight="1">
      <c r="A21" s="7" t="s">
        <v>93</v>
      </c>
      <c r="B21" s="7" t="s">
        <v>94</v>
      </c>
      <c r="C21" s="7">
        <v>35.0</v>
      </c>
      <c r="D21" s="7">
        <v>2.0</v>
      </c>
      <c r="E21" s="7">
        <v>6.0</v>
      </c>
      <c r="F21" s="7">
        <v>0.3</v>
      </c>
      <c r="G21" s="7">
        <v>300.0</v>
      </c>
      <c r="H21" s="7">
        <f t="shared" si="1"/>
        <v>105</v>
      </c>
      <c r="I21" s="7">
        <f t="shared" si="2"/>
        <v>6</v>
      </c>
    </row>
    <row r="22" ht="15.75" customHeight="1">
      <c r="A22" s="7" t="s">
        <v>95</v>
      </c>
      <c r="B22" s="7" t="s">
        <v>94</v>
      </c>
      <c r="C22" s="7">
        <v>25.0</v>
      </c>
      <c r="D22" s="7">
        <v>1.5</v>
      </c>
      <c r="E22" s="7">
        <v>4.0</v>
      </c>
      <c r="F22" s="7">
        <v>0.2</v>
      </c>
      <c r="G22" s="7">
        <v>150.0</v>
      </c>
      <c r="H22" s="7">
        <f t="shared" si="1"/>
        <v>37.5</v>
      </c>
      <c r="I22" s="7">
        <f t="shared" si="2"/>
        <v>2.25</v>
      </c>
    </row>
    <row r="23" ht="15.75" customHeight="1">
      <c r="A23" s="7" t="s">
        <v>96</v>
      </c>
      <c r="B23" s="7" t="s">
        <v>97</v>
      </c>
      <c r="C23" s="7">
        <v>900.0</v>
      </c>
      <c r="D23" s="7">
        <v>0.0</v>
      </c>
      <c r="E23" s="7">
        <v>0.0</v>
      </c>
      <c r="F23" s="7">
        <v>100.0</v>
      </c>
      <c r="G23" s="7">
        <v>10.0</v>
      </c>
      <c r="H23" s="7">
        <f t="shared" si="1"/>
        <v>90</v>
      </c>
      <c r="I23" s="7">
        <f t="shared" si="2"/>
        <v>0</v>
      </c>
    </row>
    <row r="24" ht="15.75" customHeight="1">
      <c r="A24" s="7" t="s">
        <v>98</v>
      </c>
      <c r="B24" s="7" t="s">
        <v>97</v>
      </c>
      <c r="C24" s="7">
        <v>600.0</v>
      </c>
      <c r="D24" s="7">
        <v>20.0</v>
      </c>
      <c r="E24" s="7">
        <v>10.0</v>
      </c>
      <c r="F24" s="7">
        <v>54.0</v>
      </c>
      <c r="G24" s="7">
        <v>25.0</v>
      </c>
      <c r="H24" s="7">
        <f t="shared" si="1"/>
        <v>150</v>
      </c>
      <c r="I24" s="7">
        <f t="shared" si="2"/>
        <v>5</v>
      </c>
    </row>
    <row r="25" ht="15.75" customHeight="1">
      <c r="A25" s="7" t="s">
        <v>99</v>
      </c>
      <c r="B25" s="7" t="s">
        <v>78</v>
      </c>
      <c r="C25" s="7">
        <v>50.0</v>
      </c>
      <c r="D25" s="7">
        <v>1.0</v>
      </c>
      <c r="E25" s="7">
        <v>10.0</v>
      </c>
      <c r="F25" s="7">
        <v>0.5</v>
      </c>
      <c r="G25" s="7">
        <v>100.0</v>
      </c>
      <c r="H25" s="7">
        <f t="shared" si="1"/>
        <v>50</v>
      </c>
      <c r="I25" s="7">
        <f t="shared" si="2"/>
        <v>1</v>
      </c>
    </row>
    <row r="26" ht="15.75" customHeight="1">
      <c r="A26" s="7" t="s">
        <v>100</v>
      </c>
      <c r="B26" s="7" t="s">
        <v>101</v>
      </c>
      <c r="C26" s="7">
        <v>35.0</v>
      </c>
      <c r="D26" s="7">
        <v>3.5</v>
      </c>
      <c r="E26" s="7">
        <v>5.0</v>
      </c>
      <c r="F26" s="7">
        <v>0.1</v>
      </c>
      <c r="G26" s="7">
        <v>250.0</v>
      </c>
      <c r="H26" s="7">
        <f t="shared" si="1"/>
        <v>87.5</v>
      </c>
      <c r="I26" s="7">
        <f t="shared" si="2"/>
        <v>8.75</v>
      </c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88"/>
    <col customWidth="1" min="2" max="2" width="32.13"/>
    <col customWidth="1" min="3" max="3" width="20.88"/>
    <col customWidth="1" min="4" max="4" width="38.63"/>
    <col customWidth="1" min="5" max="5" width="21.88"/>
    <col customWidth="1" min="6" max="6" width="29.38"/>
    <col customWidth="1" min="7" max="7" width="8.5"/>
    <col customWidth="1" min="8" max="8" width="8.63"/>
    <col customWidth="1" min="9" max="9" width="4.38"/>
    <col customWidth="1" min="10" max="10" width="6.5"/>
    <col customWidth="1" min="11" max="11" width="14.75"/>
    <col customWidth="1" min="12" max="26" width="8.63"/>
  </cols>
  <sheetData>
    <row r="1">
      <c r="A1" s="1" t="s">
        <v>102</v>
      </c>
    </row>
    <row r="3">
      <c r="A3" s="6" t="s">
        <v>103</v>
      </c>
      <c r="B3" s="6" t="s">
        <v>104</v>
      </c>
      <c r="C3" s="6" t="s">
        <v>105</v>
      </c>
      <c r="D3" s="6" t="s">
        <v>106</v>
      </c>
      <c r="E3" s="6" t="s">
        <v>107</v>
      </c>
      <c r="F3" s="6" t="s">
        <v>108</v>
      </c>
      <c r="G3" s="6" t="s">
        <v>109</v>
      </c>
      <c r="H3" s="6" t="s">
        <v>110</v>
      </c>
      <c r="I3" s="6" t="s">
        <v>111</v>
      </c>
      <c r="J3" s="6" t="s">
        <v>112</v>
      </c>
      <c r="K3" s="6" t="s">
        <v>4</v>
      </c>
    </row>
    <row r="4">
      <c r="A4" s="7" t="s">
        <v>113</v>
      </c>
      <c r="B4" s="7" t="s">
        <v>114</v>
      </c>
      <c r="C4" s="7" t="s">
        <v>115</v>
      </c>
      <c r="D4" s="7" t="s">
        <v>116</v>
      </c>
      <c r="E4" s="7" t="s">
        <v>117</v>
      </c>
      <c r="F4" s="7" t="s">
        <v>118</v>
      </c>
      <c r="G4" s="7">
        <v>2320.0</v>
      </c>
      <c r="H4" s="7">
        <v>165.0</v>
      </c>
      <c r="I4" s="7">
        <v>270.0</v>
      </c>
      <c r="J4" s="7">
        <v>65.0</v>
      </c>
      <c r="K4" s="7" t="s">
        <v>119</v>
      </c>
    </row>
    <row r="5">
      <c r="A5" s="7" t="s">
        <v>120</v>
      </c>
      <c r="B5" s="7" t="s">
        <v>121</v>
      </c>
      <c r="C5" s="7" t="s">
        <v>122</v>
      </c>
      <c r="D5" s="7" t="s">
        <v>123</v>
      </c>
      <c r="E5" s="7" t="s">
        <v>124</v>
      </c>
      <c r="F5" s="7" t="s">
        <v>125</v>
      </c>
      <c r="G5" s="7">
        <v>2350.0</v>
      </c>
      <c r="H5" s="7">
        <v>170.0</v>
      </c>
      <c r="I5" s="7">
        <v>235.0</v>
      </c>
      <c r="J5" s="7">
        <v>78.0</v>
      </c>
      <c r="K5" s="7" t="s">
        <v>126</v>
      </c>
    </row>
    <row r="6">
      <c r="A6" s="7" t="s">
        <v>127</v>
      </c>
      <c r="B6" s="7" t="s">
        <v>128</v>
      </c>
      <c r="C6" s="7" t="s">
        <v>129</v>
      </c>
      <c r="D6" s="7" t="s">
        <v>130</v>
      </c>
      <c r="E6" s="7" t="s">
        <v>131</v>
      </c>
      <c r="F6" s="7" t="s">
        <v>132</v>
      </c>
      <c r="G6" s="7">
        <v>2250.0</v>
      </c>
      <c r="H6" s="7">
        <v>165.0</v>
      </c>
      <c r="I6" s="7">
        <v>250.0</v>
      </c>
      <c r="J6" s="7">
        <v>62.0</v>
      </c>
      <c r="K6" s="7" t="s">
        <v>133</v>
      </c>
    </row>
    <row r="7">
      <c r="A7" s="7" t="s">
        <v>134</v>
      </c>
      <c r="B7" s="7" t="s">
        <v>135</v>
      </c>
      <c r="C7" s="7" t="s">
        <v>82</v>
      </c>
      <c r="D7" s="7" t="s">
        <v>136</v>
      </c>
      <c r="E7" s="7" t="s">
        <v>137</v>
      </c>
      <c r="F7" s="7" t="s">
        <v>138</v>
      </c>
      <c r="G7" s="7">
        <v>2280.0</v>
      </c>
      <c r="H7" s="7">
        <v>160.0</v>
      </c>
      <c r="I7" s="7">
        <v>275.0</v>
      </c>
      <c r="J7" s="7">
        <v>60.0</v>
      </c>
      <c r="K7" s="7" t="s">
        <v>139</v>
      </c>
    </row>
    <row r="8">
      <c r="A8" s="7" t="s">
        <v>140</v>
      </c>
      <c r="B8" s="7" t="s">
        <v>141</v>
      </c>
      <c r="C8" s="7" t="s">
        <v>142</v>
      </c>
      <c r="D8" s="7" t="s">
        <v>143</v>
      </c>
      <c r="E8" s="7" t="s">
        <v>144</v>
      </c>
      <c r="F8" s="7" t="s">
        <v>145</v>
      </c>
      <c r="G8" s="7">
        <v>2300.0</v>
      </c>
      <c r="H8" s="7">
        <v>170.0</v>
      </c>
      <c r="I8" s="7">
        <v>230.0</v>
      </c>
      <c r="J8" s="7">
        <v>75.0</v>
      </c>
      <c r="K8" s="7" t="s">
        <v>146</v>
      </c>
    </row>
    <row r="9">
      <c r="A9" s="7" t="s">
        <v>147</v>
      </c>
      <c r="B9" s="7" t="s">
        <v>135</v>
      </c>
      <c r="C9" s="7" t="s">
        <v>82</v>
      </c>
      <c r="D9" s="7" t="s">
        <v>148</v>
      </c>
      <c r="E9" s="7" t="s">
        <v>149</v>
      </c>
      <c r="F9" s="7" t="s">
        <v>150</v>
      </c>
      <c r="G9" s="7">
        <v>2400.0</v>
      </c>
      <c r="H9" s="7">
        <v>165.0</v>
      </c>
      <c r="I9" s="7">
        <v>290.0</v>
      </c>
      <c r="J9" s="7">
        <v>65.0</v>
      </c>
      <c r="K9" s="7" t="s">
        <v>151</v>
      </c>
    </row>
    <row r="10">
      <c r="A10" s="7" t="s">
        <v>152</v>
      </c>
      <c r="B10" s="7" t="s">
        <v>153</v>
      </c>
      <c r="C10" s="7" t="s">
        <v>137</v>
      </c>
      <c r="D10" s="7" t="s">
        <v>154</v>
      </c>
      <c r="E10" s="7" t="s">
        <v>155</v>
      </c>
      <c r="F10" s="7" t="s">
        <v>156</v>
      </c>
      <c r="G10" s="7">
        <v>2200.0</v>
      </c>
      <c r="H10" s="7">
        <v>150.0</v>
      </c>
      <c r="I10" s="7">
        <v>230.0</v>
      </c>
      <c r="J10" s="7">
        <v>70.0</v>
      </c>
      <c r="K10" s="7" t="s">
        <v>157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K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13"/>
    <col customWidth="1" min="2" max="2" width="9.75"/>
    <col customWidth="1" min="3" max="3" width="25.75"/>
    <col customWidth="1" min="4" max="4" width="5.5"/>
    <col customWidth="1" min="5" max="5" width="10.63"/>
    <col customWidth="1" min="6" max="6" width="3.5"/>
    <col customWidth="1" min="7" max="7" width="8.0"/>
    <col customWidth="1" min="8" max="8" width="31.13"/>
    <col customWidth="1" min="9" max="9" width="20.13"/>
    <col customWidth="1" min="10" max="10" width="24.0"/>
    <col customWidth="1" min="11" max="11" width="32.0"/>
    <col customWidth="1" min="12" max="26" width="8.63"/>
  </cols>
  <sheetData>
    <row r="1">
      <c r="A1" s="1" t="s">
        <v>158</v>
      </c>
      <c r="J1" s="2"/>
      <c r="K1" s="2"/>
    </row>
    <row r="3">
      <c r="A3" s="6" t="s">
        <v>103</v>
      </c>
      <c r="B3" s="6" t="s">
        <v>159</v>
      </c>
      <c r="C3" s="6" t="s">
        <v>160</v>
      </c>
      <c r="D3" s="6" t="s">
        <v>161</v>
      </c>
      <c r="E3" s="6" t="s">
        <v>162</v>
      </c>
      <c r="F3" s="6" t="s">
        <v>163</v>
      </c>
      <c r="G3" s="6" t="s">
        <v>164</v>
      </c>
      <c r="H3" s="6" t="s">
        <v>165</v>
      </c>
      <c r="I3" s="6" t="s">
        <v>4</v>
      </c>
    </row>
    <row r="4">
      <c r="A4" s="7" t="s">
        <v>120</v>
      </c>
      <c r="B4" s="7" t="s">
        <v>166</v>
      </c>
      <c r="C4" s="7" t="s">
        <v>167</v>
      </c>
      <c r="D4" s="7">
        <v>4.0</v>
      </c>
      <c r="E4" s="7" t="s">
        <v>168</v>
      </c>
      <c r="F4" s="7">
        <v>2.0</v>
      </c>
      <c r="G4" s="7" t="s">
        <v>169</v>
      </c>
      <c r="H4" s="7" t="s">
        <v>170</v>
      </c>
      <c r="I4" s="7" t="s">
        <v>171</v>
      </c>
    </row>
    <row r="5">
      <c r="A5" s="7" t="s">
        <v>120</v>
      </c>
      <c r="B5" s="7" t="s">
        <v>166</v>
      </c>
      <c r="C5" s="7" t="s">
        <v>172</v>
      </c>
      <c r="D5" s="7">
        <v>3.0</v>
      </c>
      <c r="E5" s="7" t="s">
        <v>173</v>
      </c>
      <c r="F5" s="7">
        <v>2.0</v>
      </c>
      <c r="G5" s="7" t="s">
        <v>169</v>
      </c>
      <c r="H5" s="7" t="s">
        <v>174</v>
      </c>
      <c r="I5" s="7"/>
    </row>
    <row r="6">
      <c r="A6" s="7" t="s">
        <v>120</v>
      </c>
      <c r="B6" s="7" t="s">
        <v>166</v>
      </c>
      <c r="C6" s="7" t="s">
        <v>175</v>
      </c>
      <c r="D6" s="7">
        <v>3.0</v>
      </c>
      <c r="E6" s="7" t="s">
        <v>176</v>
      </c>
      <c r="F6" s="7">
        <v>1.0</v>
      </c>
      <c r="G6" s="7" t="s">
        <v>177</v>
      </c>
      <c r="H6" s="7" t="s">
        <v>178</v>
      </c>
      <c r="I6" s="7"/>
    </row>
    <row r="7">
      <c r="A7" s="7" t="s">
        <v>120</v>
      </c>
      <c r="B7" s="7" t="s">
        <v>166</v>
      </c>
      <c r="C7" s="7" t="s">
        <v>179</v>
      </c>
      <c r="D7" s="7">
        <v>3.0</v>
      </c>
      <c r="E7" s="7" t="s">
        <v>180</v>
      </c>
      <c r="F7" s="7">
        <v>2.0</v>
      </c>
      <c r="G7" s="7" t="s">
        <v>181</v>
      </c>
      <c r="H7" s="7" t="s">
        <v>182</v>
      </c>
      <c r="I7" s="7"/>
    </row>
    <row r="8">
      <c r="A8" s="7" t="s">
        <v>120</v>
      </c>
      <c r="B8" s="7" t="s">
        <v>166</v>
      </c>
      <c r="C8" s="7" t="s">
        <v>183</v>
      </c>
      <c r="D8" s="7">
        <v>3.0</v>
      </c>
      <c r="E8" s="7" t="s">
        <v>184</v>
      </c>
      <c r="F8" s="7">
        <v>2.0</v>
      </c>
      <c r="G8" s="7" t="s">
        <v>181</v>
      </c>
      <c r="H8" s="7" t="s">
        <v>185</v>
      </c>
      <c r="I8" s="7"/>
    </row>
    <row r="9">
      <c r="A9" s="7" t="s">
        <v>134</v>
      </c>
      <c r="B9" s="7" t="s">
        <v>186</v>
      </c>
      <c r="C9" s="7" t="s">
        <v>187</v>
      </c>
      <c r="D9" s="7">
        <v>4.0</v>
      </c>
      <c r="E9" s="7" t="s">
        <v>176</v>
      </c>
      <c r="F9" s="7">
        <v>1.0</v>
      </c>
      <c r="G9" s="7" t="s">
        <v>188</v>
      </c>
      <c r="H9" s="7" t="s">
        <v>189</v>
      </c>
      <c r="I9" s="7" t="s">
        <v>190</v>
      </c>
    </row>
    <row r="10">
      <c r="A10" s="7" t="s">
        <v>134</v>
      </c>
      <c r="B10" s="7" t="s">
        <v>186</v>
      </c>
      <c r="C10" s="7" t="s">
        <v>191</v>
      </c>
      <c r="D10" s="7">
        <v>4.0</v>
      </c>
      <c r="E10" s="7" t="s">
        <v>168</v>
      </c>
      <c r="F10" s="7">
        <v>2.0</v>
      </c>
      <c r="G10" s="7" t="s">
        <v>169</v>
      </c>
      <c r="H10" s="7" t="s">
        <v>192</v>
      </c>
      <c r="I10" s="7"/>
    </row>
    <row r="11">
      <c r="A11" s="7" t="s">
        <v>134</v>
      </c>
      <c r="B11" s="7" t="s">
        <v>186</v>
      </c>
      <c r="C11" s="7" t="s">
        <v>193</v>
      </c>
      <c r="D11" s="7">
        <v>3.0</v>
      </c>
      <c r="E11" s="7" t="s">
        <v>194</v>
      </c>
      <c r="F11" s="7">
        <v>2.0</v>
      </c>
      <c r="G11" s="7" t="s">
        <v>181</v>
      </c>
      <c r="H11" s="7" t="s">
        <v>195</v>
      </c>
      <c r="I11" s="7" t="s">
        <v>196</v>
      </c>
    </row>
    <row r="12">
      <c r="A12" s="7" t="s">
        <v>134</v>
      </c>
      <c r="B12" s="7" t="s">
        <v>186</v>
      </c>
      <c r="C12" s="7" t="s">
        <v>197</v>
      </c>
      <c r="D12" s="7">
        <v>3.0</v>
      </c>
      <c r="E12" s="7" t="s">
        <v>198</v>
      </c>
      <c r="F12" s="7">
        <v>2.0</v>
      </c>
      <c r="G12" s="7" t="s">
        <v>177</v>
      </c>
      <c r="H12" s="7" t="s">
        <v>199</v>
      </c>
      <c r="I12" s="7"/>
    </row>
    <row r="13">
      <c r="A13" s="7" t="s">
        <v>134</v>
      </c>
      <c r="B13" s="7" t="s">
        <v>186</v>
      </c>
      <c r="C13" s="7" t="s">
        <v>200</v>
      </c>
      <c r="D13" s="7">
        <v>3.0</v>
      </c>
      <c r="E13" s="7" t="s">
        <v>180</v>
      </c>
      <c r="F13" s="7">
        <v>2.0</v>
      </c>
      <c r="G13" s="7" t="s">
        <v>181</v>
      </c>
      <c r="H13" s="7" t="s">
        <v>201</v>
      </c>
      <c r="I13" s="7"/>
    </row>
    <row r="14">
      <c r="A14" s="7" t="s">
        <v>152</v>
      </c>
      <c r="B14" s="7" t="s">
        <v>202</v>
      </c>
      <c r="C14" s="7" t="s">
        <v>203</v>
      </c>
      <c r="D14" s="7">
        <v>4.0</v>
      </c>
      <c r="E14" s="7" t="s">
        <v>198</v>
      </c>
      <c r="F14" s="7">
        <v>2.0</v>
      </c>
      <c r="G14" s="7" t="s">
        <v>169</v>
      </c>
      <c r="H14" s="7" t="s">
        <v>204</v>
      </c>
      <c r="I14" s="7"/>
    </row>
    <row r="15">
      <c r="A15" s="7" t="s">
        <v>152</v>
      </c>
      <c r="B15" s="7" t="s">
        <v>202</v>
      </c>
      <c r="C15" s="7" t="s">
        <v>205</v>
      </c>
      <c r="D15" s="7">
        <v>4.0</v>
      </c>
      <c r="E15" s="7" t="s">
        <v>168</v>
      </c>
      <c r="F15" s="7">
        <v>2.0</v>
      </c>
      <c r="G15" s="7" t="s">
        <v>169</v>
      </c>
      <c r="H15" s="7" t="s">
        <v>206</v>
      </c>
      <c r="I15" s="7" t="s">
        <v>207</v>
      </c>
    </row>
    <row r="16">
      <c r="A16" s="7" t="s">
        <v>152</v>
      </c>
      <c r="B16" s="7" t="s">
        <v>202</v>
      </c>
      <c r="C16" s="7" t="s">
        <v>208</v>
      </c>
      <c r="D16" s="7">
        <v>3.0</v>
      </c>
      <c r="E16" s="7" t="s">
        <v>209</v>
      </c>
      <c r="F16" s="7">
        <v>2.0</v>
      </c>
      <c r="G16" s="7" t="s">
        <v>169</v>
      </c>
      <c r="H16" s="7" t="s">
        <v>210</v>
      </c>
      <c r="I16" s="7"/>
    </row>
    <row r="17">
      <c r="A17" s="7" t="s">
        <v>152</v>
      </c>
      <c r="B17" s="7" t="s">
        <v>202</v>
      </c>
      <c r="C17" s="7" t="s">
        <v>211</v>
      </c>
      <c r="D17" s="7">
        <v>4.0</v>
      </c>
      <c r="E17" s="7" t="s">
        <v>194</v>
      </c>
      <c r="F17" s="7">
        <v>1.0</v>
      </c>
      <c r="G17" s="7" t="s">
        <v>181</v>
      </c>
      <c r="H17" s="7" t="s">
        <v>212</v>
      </c>
      <c r="I17" s="7"/>
    </row>
    <row r="18">
      <c r="A18" s="7" t="s">
        <v>152</v>
      </c>
      <c r="B18" s="7" t="s">
        <v>202</v>
      </c>
      <c r="C18" s="7" t="s">
        <v>213</v>
      </c>
      <c r="D18" s="7">
        <v>3.0</v>
      </c>
      <c r="E18" s="7" t="s">
        <v>198</v>
      </c>
      <c r="F18" s="7">
        <v>2.0</v>
      </c>
      <c r="G18" s="7" t="s">
        <v>181</v>
      </c>
      <c r="H18" s="7" t="s">
        <v>214</v>
      </c>
      <c r="I18" s="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13"/>
    <col customWidth="1" min="2" max="2" width="9.13"/>
    <col customWidth="1" min="3" max="3" width="21.25"/>
    <col customWidth="1" min="4" max="4" width="11.38"/>
    <col customWidth="1" min="5" max="5" width="9.63"/>
    <col customWidth="1" min="6" max="6" width="29.5"/>
    <col customWidth="1" min="7" max="7" width="22.25"/>
    <col customWidth="1" min="8" max="8" width="18.25"/>
    <col customWidth="1" min="9" max="9" width="25.5"/>
    <col customWidth="1" min="10" max="10" width="24.0"/>
    <col customWidth="1" min="11" max="11" width="32.0"/>
    <col customWidth="1" min="12" max="26" width="8.63"/>
  </cols>
  <sheetData>
    <row r="1">
      <c r="A1" s="1" t="s">
        <v>215</v>
      </c>
      <c r="J1" s="2"/>
      <c r="K1" s="2"/>
    </row>
    <row r="3">
      <c r="A3" s="6" t="s">
        <v>35</v>
      </c>
      <c r="B3" s="6" t="s">
        <v>216</v>
      </c>
      <c r="C3" s="6" t="s">
        <v>217</v>
      </c>
      <c r="D3" s="6" t="s">
        <v>218</v>
      </c>
      <c r="E3" s="6" t="s">
        <v>219</v>
      </c>
      <c r="F3" s="6" t="s">
        <v>220</v>
      </c>
      <c r="G3" s="6" t="s">
        <v>221</v>
      </c>
      <c r="H3" s="6" t="s">
        <v>49</v>
      </c>
      <c r="I3" s="6" t="s">
        <v>4</v>
      </c>
    </row>
    <row r="4">
      <c r="A4" s="7">
        <v>1.0</v>
      </c>
      <c r="B4" s="7" t="s">
        <v>222</v>
      </c>
      <c r="C4" s="7" t="s">
        <v>223</v>
      </c>
      <c r="D4" s="7" t="s">
        <v>224</v>
      </c>
      <c r="E4" s="7">
        <v>13.0</v>
      </c>
      <c r="F4" s="7" t="s">
        <v>225</v>
      </c>
      <c r="G4" s="7" t="s">
        <v>226</v>
      </c>
      <c r="H4" s="7" t="s">
        <v>227</v>
      </c>
      <c r="I4" s="7" t="s">
        <v>228</v>
      </c>
    </row>
    <row r="5">
      <c r="A5" s="7">
        <v>2.0</v>
      </c>
      <c r="B5" s="7" t="s">
        <v>222</v>
      </c>
      <c r="C5" s="7" t="s">
        <v>223</v>
      </c>
      <c r="D5" s="7" t="s">
        <v>229</v>
      </c>
      <c r="E5" s="7">
        <v>13.4</v>
      </c>
      <c r="F5" s="7" t="s">
        <v>225</v>
      </c>
      <c r="G5" s="7" t="s">
        <v>226</v>
      </c>
      <c r="H5" s="7" t="s">
        <v>227</v>
      </c>
      <c r="I5" s="7" t="s">
        <v>228</v>
      </c>
    </row>
    <row r="6">
      <c r="A6" s="7">
        <v>3.0</v>
      </c>
      <c r="B6" s="7" t="s">
        <v>222</v>
      </c>
      <c r="C6" s="7" t="s">
        <v>223</v>
      </c>
      <c r="D6" s="7" t="s">
        <v>230</v>
      </c>
      <c r="E6" s="7">
        <v>13.8</v>
      </c>
      <c r="F6" s="7" t="s">
        <v>225</v>
      </c>
      <c r="G6" s="7" t="s">
        <v>226</v>
      </c>
      <c r="H6" s="7" t="s">
        <v>227</v>
      </c>
      <c r="I6" s="7" t="s">
        <v>228</v>
      </c>
    </row>
    <row r="7">
      <c r="A7" s="7">
        <v>4.0</v>
      </c>
      <c r="B7" s="7" t="s">
        <v>222</v>
      </c>
      <c r="C7" s="7" t="s">
        <v>231</v>
      </c>
      <c r="D7" s="7" t="s">
        <v>232</v>
      </c>
      <c r="E7" s="7">
        <v>14.2</v>
      </c>
      <c r="F7" s="7" t="s">
        <v>225</v>
      </c>
      <c r="G7" s="7" t="s">
        <v>226</v>
      </c>
      <c r="H7" s="7" t="s">
        <v>227</v>
      </c>
      <c r="I7" s="7" t="s">
        <v>228</v>
      </c>
    </row>
    <row r="8">
      <c r="A8" s="7">
        <v>5.0</v>
      </c>
      <c r="B8" s="7" t="s">
        <v>233</v>
      </c>
      <c r="C8" s="7" t="s">
        <v>223</v>
      </c>
      <c r="D8" s="7" t="s">
        <v>234</v>
      </c>
      <c r="E8" s="7">
        <v>15.6</v>
      </c>
      <c r="F8" s="7" t="s">
        <v>225</v>
      </c>
      <c r="G8" s="7" t="s">
        <v>226</v>
      </c>
      <c r="H8" s="7" t="s">
        <v>227</v>
      </c>
      <c r="I8" s="7" t="s">
        <v>228</v>
      </c>
    </row>
    <row r="9">
      <c r="A9" s="7">
        <v>6.0</v>
      </c>
      <c r="B9" s="7" t="s">
        <v>233</v>
      </c>
      <c r="C9" s="7" t="s">
        <v>223</v>
      </c>
      <c r="D9" s="7" t="s">
        <v>235</v>
      </c>
      <c r="E9" s="7">
        <v>16.0</v>
      </c>
      <c r="F9" s="7" t="s">
        <v>225</v>
      </c>
      <c r="G9" s="7" t="s">
        <v>226</v>
      </c>
      <c r="H9" s="7" t="s">
        <v>227</v>
      </c>
      <c r="I9" s="7" t="s">
        <v>228</v>
      </c>
    </row>
    <row r="10">
      <c r="A10" s="7">
        <v>7.0</v>
      </c>
      <c r="B10" s="7" t="s">
        <v>233</v>
      </c>
      <c r="C10" s="7" t="s">
        <v>223</v>
      </c>
      <c r="D10" s="7" t="s">
        <v>236</v>
      </c>
      <c r="E10" s="7">
        <v>16.4</v>
      </c>
      <c r="F10" s="7" t="s">
        <v>225</v>
      </c>
      <c r="G10" s="7" t="s">
        <v>226</v>
      </c>
      <c r="H10" s="7" t="s">
        <v>227</v>
      </c>
      <c r="I10" s="7" t="s">
        <v>228</v>
      </c>
    </row>
    <row r="11">
      <c r="A11" s="7">
        <v>8.0</v>
      </c>
      <c r="B11" s="7" t="s">
        <v>233</v>
      </c>
      <c r="C11" s="7" t="s">
        <v>231</v>
      </c>
      <c r="D11" s="7" t="s">
        <v>237</v>
      </c>
      <c r="E11" s="7">
        <v>16.8</v>
      </c>
      <c r="F11" s="7" t="s">
        <v>225</v>
      </c>
      <c r="G11" s="7" t="s">
        <v>226</v>
      </c>
      <c r="H11" s="7" t="s">
        <v>238</v>
      </c>
      <c r="I11" s="7" t="s">
        <v>228</v>
      </c>
    </row>
    <row r="12">
      <c r="A12" s="7">
        <v>9.0</v>
      </c>
      <c r="B12" s="7" t="s">
        <v>233</v>
      </c>
      <c r="C12" s="7" t="s">
        <v>223</v>
      </c>
      <c r="D12" s="7" t="s">
        <v>239</v>
      </c>
      <c r="E12" s="7">
        <v>17.2</v>
      </c>
      <c r="F12" s="7" t="s">
        <v>225</v>
      </c>
      <c r="G12" s="7" t="s">
        <v>226</v>
      </c>
      <c r="H12" s="7" t="s">
        <v>238</v>
      </c>
      <c r="I12" s="7" t="s">
        <v>228</v>
      </c>
    </row>
    <row r="13">
      <c r="A13" s="7">
        <v>10.0</v>
      </c>
      <c r="B13" s="7" t="s">
        <v>233</v>
      </c>
      <c r="C13" s="7" t="s">
        <v>223</v>
      </c>
      <c r="D13" s="7" t="s">
        <v>240</v>
      </c>
      <c r="E13" s="7">
        <v>17.6</v>
      </c>
      <c r="F13" s="7" t="s">
        <v>225</v>
      </c>
      <c r="G13" s="7" t="s">
        <v>226</v>
      </c>
      <c r="H13" s="7" t="s">
        <v>238</v>
      </c>
      <c r="I13" s="7" t="s">
        <v>228</v>
      </c>
    </row>
    <row r="14">
      <c r="A14" s="7">
        <v>11.0</v>
      </c>
      <c r="B14" s="7" t="s">
        <v>233</v>
      </c>
      <c r="C14" s="7" t="s">
        <v>223</v>
      </c>
      <c r="D14" s="7" t="s">
        <v>241</v>
      </c>
      <c r="E14" s="7">
        <v>18.0</v>
      </c>
      <c r="F14" s="7" t="s">
        <v>225</v>
      </c>
      <c r="G14" s="7" t="s">
        <v>226</v>
      </c>
      <c r="H14" s="7" t="s">
        <v>238</v>
      </c>
      <c r="I14" s="7" t="s">
        <v>228</v>
      </c>
    </row>
    <row r="15">
      <c r="A15" s="7">
        <v>12.0</v>
      </c>
      <c r="B15" s="7" t="s">
        <v>233</v>
      </c>
      <c r="C15" s="7" t="s">
        <v>231</v>
      </c>
      <c r="D15" s="7" t="s">
        <v>242</v>
      </c>
      <c r="E15" s="7">
        <v>18.4</v>
      </c>
      <c r="F15" s="7" t="s">
        <v>225</v>
      </c>
      <c r="G15" s="7" t="s">
        <v>226</v>
      </c>
      <c r="H15" s="7" t="s">
        <v>238</v>
      </c>
      <c r="I15" s="7" t="s">
        <v>228</v>
      </c>
    </row>
    <row r="16">
      <c r="A16" s="7">
        <v>13.0</v>
      </c>
      <c r="B16" s="7" t="s">
        <v>233</v>
      </c>
      <c r="C16" s="7" t="s">
        <v>223</v>
      </c>
      <c r="D16" s="7" t="s">
        <v>243</v>
      </c>
      <c r="E16" s="7">
        <v>18.8</v>
      </c>
      <c r="F16" s="7" t="s">
        <v>225</v>
      </c>
      <c r="G16" s="7" t="s">
        <v>226</v>
      </c>
      <c r="H16" s="7" t="s">
        <v>238</v>
      </c>
      <c r="I16" s="7" t="s">
        <v>228</v>
      </c>
    </row>
    <row r="17">
      <c r="A17" s="7">
        <v>14.0</v>
      </c>
      <c r="B17" s="7" t="s">
        <v>233</v>
      </c>
      <c r="C17" s="7" t="s">
        <v>223</v>
      </c>
      <c r="D17" s="7" t="s">
        <v>244</v>
      </c>
      <c r="E17" s="7">
        <v>19.0</v>
      </c>
      <c r="F17" s="7" t="s">
        <v>225</v>
      </c>
      <c r="G17" s="7" t="s">
        <v>226</v>
      </c>
      <c r="H17" s="7" t="s">
        <v>238</v>
      </c>
      <c r="I17" s="7" t="s">
        <v>228</v>
      </c>
    </row>
    <row r="18">
      <c r="A18" s="7">
        <v>15.0</v>
      </c>
      <c r="B18" s="7" t="s">
        <v>233</v>
      </c>
      <c r="C18" s="7" t="s">
        <v>223</v>
      </c>
      <c r="D18" s="7" t="s">
        <v>244</v>
      </c>
      <c r="E18" s="7">
        <v>19.0</v>
      </c>
      <c r="F18" s="7" t="s">
        <v>225</v>
      </c>
      <c r="G18" s="7" t="s">
        <v>226</v>
      </c>
      <c r="H18" s="7" t="s">
        <v>238</v>
      </c>
      <c r="I18" s="7" t="s">
        <v>228</v>
      </c>
    </row>
    <row r="19">
      <c r="A19" s="7">
        <v>16.0</v>
      </c>
      <c r="B19" s="7" t="s">
        <v>233</v>
      </c>
      <c r="C19" s="7" t="s">
        <v>231</v>
      </c>
      <c r="D19" s="7" t="s">
        <v>244</v>
      </c>
      <c r="E19" s="7">
        <v>19.0</v>
      </c>
      <c r="F19" s="7" t="s">
        <v>225</v>
      </c>
      <c r="G19" s="7" t="s">
        <v>226</v>
      </c>
      <c r="H19" s="7" t="s">
        <v>238</v>
      </c>
      <c r="I19" s="7" t="s">
        <v>228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1.38"/>
    <col customWidth="1" min="2" max="2" width="11.38"/>
    <col customWidth="1" min="3" max="3" width="8.25"/>
    <col customWidth="1" min="4" max="4" width="14.38"/>
    <col customWidth="1" min="5" max="5" width="12.38"/>
    <col customWidth="1" min="6" max="6" width="14.25"/>
    <col customWidth="1" min="7" max="7" width="18.0"/>
    <col customWidth="1" min="8" max="8" width="75.25"/>
    <col customWidth="1" min="9" max="9" width="17.63"/>
    <col customWidth="1" min="10" max="10" width="31.13"/>
    <col customWidth="1" min="11" max="11" width="32.0"/>
    <col customWidth="1" min="12" max="26" width="8.63"/>
  </cols>
  <sheetData>
    <row r="1">
      <c r="A1" s="1" t="s">
        <v>245</v>
      </c>
      <c r="K1" s="2"/>
    </row>
    <row r="3">
      <c r="A3" s="6" t="s">
        <v>246</v>
      </c>
      <c r="B3" s="6" t="s">
        <v>65</v>
      </c>
      <c r="C3" s="6" t="s">
        <v>247</v>
      </c>
      <c r="D3" s="6" t="s">
        <v>248</v>
      </c>
      <c r="E3" s="6" t="s">
        <v>249</v>
      </c>
      <c r="F3" s="6" t="s">
        <v>250</v>
      </c>
      <c r="G3" s="6" t="s">
        <v>251</v>
      </c>
      <c r="H3" s="6" t="s">
        <v>252</v>
      </c>
      <c r="I3" s="6" t="s">
        <v>253</v>
      </c>
      <c r="J3" s="6" t="s">
        <v>4</v>
      </c>
    </row>
    <row r="4">
      <c r="A4" s="7" t="s">
        <v>254</v>
      </c>
      <c r="B4" s="7" t="s">
        <v>255</v>
      </c>
      <c r="C4" s="7" t="s">
        <v>256</v>
      </c>
      <c r="D4" s="9">
        <v>1.0</v>
      </c>
      <c r="E4" s="9" t="s">
        <v>257</v>
      </c>
      <c r="F4" s="12">
        <v>1.55</v>
      </c>
      <c r="G4" s="13">
        <f t="shared" ref="G4:G26" si="1">D4*F4</f>
        <v>1.55</v>
      </c>
      <c r="H4" s="7" t="s">
        <v>258</v>
      </c>
      <c r="I4" s="7" t="s">
        <v>259</v>
      </c>
      <c r="J4" s="7" t="s">
        <v>260</v>
      </c>
    </row>
    <row r="5">
      <c r="A5" s="7" t="s">
        <v>75</v>
      </c>
      <c r="B5" s="7" t="s">
        <v>261</v>
      </c>
      <c r="C5" s="7" t="s">
        <v>262</v>
      </c>
      <c r="D5" s="9">
        <v>0.25</v>
      </c>
      <c r="E5" s="9" t="s">
        <v>263</v>
      </c>
      <c r="F5" s="12">
        <v>22.0</v>
      </c>
      <c r="G5" s="13">
        <f t="shared" si="1"/>
        <v>5.5</v>
      </c>
      <c r="H5" s="7"/>
      <c r="I5" s="7" t="s">
        <v>264</v>
      </c>
      <c r="J5" s="7" t="s">
        <v>265</v>
      </c>
    </row>
    <row r="6">
      <c r="A6" s="7" t="s">
        <v>266</v>
      </c>
      <c r="B6" s="7" t="s">
        <v>78</v>
      </c>
      <c r="C6" s="7" t="s">
        <v>14</v>
      </c>
      <c r="D6" s="9">
        <v>1.6</v>
      </c>
      <c r="E6" s="9" t="s">
        <v>14</v>
      </c>
      <c r="F6" s="12">
        <v>1.99</v>
      </c>
      <c r="G6" s="13">
        <f t="shared" si="1"/>
        <v>3.184</v>
      </c>
      <c r="H6" s="7" t="s">
        <v>267</v>
      </c>
      <c r="I6" s="7" t="s">
        <v>259</v>
      </c>
      <c r="J6" s="7"/>
    </row>
    <row r="7">
      <c r="A7" s="7" t="s">
        <v>268</v>
      </c>
      <c r="B7" s="7" t="s">
        <v>76</v>
      </c>
      <c r="C7" s="7" t="s">
        <v>269</v>
      </c>
      <c r="D7" s="9">
        <v>2.0</v>
      </c>
      <c r="E7" s="9" t="s">
        <v>270</v>
      </c>
      <c r="F7" s="12">
        <v>2.7</v>
      </c>
      <c r="G7" s="13">
        <f t="shared" si="1"/>
        <v>5.4</v>
      </c>
      <c r="H7" s="7" t="s">
        <v>271</v>
      </c>
      <c r="I7" s="7" t="s">
        <v>259</v>
      </c>
      <c r="J7" s="7"/>
    </row>
    <row r="8">
      <c r="A8" s="7" t="s">
        <v>272</v>
      </c>
      <c r="B8" s="7" t="s">
        <v>76</v>
      </c>
      <c r="C8" s="7" t="s">
        <v>273</v>
      </c>
      <c r="D8" s="9">
        <v>2.0</v>
      </c>
      <c r="E8" s="9" t="s">
        <v>273</v>
      </c>
      <c r="F8" s="12">
        <v>1.85</v>
      </c>
      <c r="G8" s="13">
        <f t="shared" si="1"/>
        <v>3.7</v>
      </c>
      <c r="H8" s="7" t="s">
        <v>274</v>
      </c>
      <c r="I8" s="7" t="s">
        <v>259</v>
      </c>
      <c r="J8" s="7"/>
    </row>
    <row r="9">
      <c r="A9" s="7" t="s">
        <v>275</v>
      </c>
      <c r="B9" s="7" t="s">
        <v>101</v>
      </c>
      <c r="C9" s="7" t="s">
        <v>256</v>
      </c>
      <c r="D9" s="9">
        <v>4.0</v>
      </c>
      <c r="E9" s="9" t="s">
        <v>276</v>
      </c>
      <c r="F9" s="12">
        <v>1.5</v>
      </c>
      <c r="G9" s="13">
        <f t="shared" si="1"/>
        <v>6</v>
      </c>
      <c r="H9" s="7" t="s">
        <v>277</v>
      </c>
      <c r="I9" s="7" t="s">
        <v>259</v>
      </c>
      <c r="J9" s="7"/>
    </row>
    <row r="10">
      <c r="A10" s="7" t="s">
        <v>82</v>
      </c>
      <c r="B10" s="7" t="s">
        <v>101</v>
      </c>
      <c r="C10" s="7" t="s">
        <v>278</v>
      </c>
      <c r="D10" s="9">
        <v>4.0</v>
      </c>
      <c r="E10" s="9" t="s">
        <v>279</v>
      </c>
      <c r="F10" s="12">
        <v>1.4</v>
      </c>
      <c r="G10" s="13">
        <f t="shared" si="1"/>
        <v>5.6</v>
      </c>
      <c r="H10" s="7" t="s">
        <v>280</v>
      </c>
      <c r="I10" s="7" t="s">
        <v>259</v>
      </c>
      <c r="J10" s="7"/>
    </row>
    <row r="11">
      <c r="A11" s="7" t="s">
        <v>281</v>
      </c>
      <c r="B11" s="7" t="s">
        <v>76</v>
      </c>
      <c r="C11" s="7" t="s">
        <v>14</v>
      </c>
      <c r="D11" s="9">
        <v>2.0</v>
      </c>
      <c r="E11" s="9" t="s">
        <v>14</v>
      </c>
      <c r="F11" s="12">
        <v>7.2</v>
      </c>
      <c r="G11" s="13">
        <f t="shared" si="1"/>
        <v>14.4</v>
      </c>
      <c r="H11" s="7" t="s">
        <v>282</v>
      </c>
      <c r="I11" s="7" t="s">
        <v>259</v>
      </c>
      <c r="J11" s="7" t="s">
        <v>283</v>
      </c>
    </row>
    <row r="12">
      <c r="A12" s="7" t="s">
        <v>84</v>
      </c>
      <c r="B12" s="7" t="s">
        <v>76</v>
      </c>
      <c r="C12" s="7" t="s">
        <v>270</v>
      </c>
      <c r="D12" s="9">
        <v>2.0</v>
      </c>
      <c r="E12" s="9" t="s">
        <v>270</v>
      </c>
      <c r="F12" s="12">
        <v>2.5</v>
      </c>
      <c r="G12" s="13">
        <f t="shared" si="1"/>
        <v>5</v>
      </c>
      <c r="H12" s="7" t="s">
        <v>284</v>
      </c>
      <c r="I12" s="7" t="s">
        <v>259</v>
      </c>
      <c r="J12" s="7" t="s">
        <v>285</v>
      </c>
    </row>
    <row r="13">
      <c r="A13" s="7" t="s">
        <v>85</v>
      </c>
      <c r="B13" s="7" t="s">
        <v>76</v>
      </c>
      <c r="C13" s="7" t="s">
        <v>286</v>
      </c>
      <c r="D13" s="9">
        <v>2.0</v>
      </c>
      <c r="E13" s="9" t="s">
        <v>278</v>
      </c>
      <c r="F13" s="12">
        <v>3.85</v>
      </c>
      <c r="G13" s="13">
        <f t="shared" si="1"/>
        <v>7.7</v>
      </c>
      <c r="H13" s="7" t="s">
        <v>287</v>
      </c>
      <c r="I13" s="7" t="s">
        <v>259</v>
      </c>
      <c r="J13" s="7"/>
    </row>
    <row r="14">
      <c r="A14" s="7" t="s">
        <v>86</v>
      </c>
      <c r="B14" s="7" t="s">
        <v>76</v>
      </c>
      <c r="C14" s="7" t="s">
        <v>14</v>
      </c>
      <c r="D14" s="9">
        <v>1.0</v>
      </c>
      <c r="E14" s="9" t="s">
        <v>14</v>
      </c>
      <c r="F14" s="12">
        <v>7.5</v>
      </c>
      <c r="G14" s="13">
        <f t="shared" si="1"/>
        <v>7.5</v>
      </c>
      <c r="H14" s="7" t="s">
        <v>288</v>
      </c>
      <c r="I14" s="7" t="s">
        <v>259</v>
      </c>
      <c r="J14" s="7" t="s">
        <v>289</v>
      </c>
    </row>
    <row r="15">
      <c r="A15" s="7" t="s">
        <v>87</v>
      </c>
      <c r="B15" s="7" t="s">
        <v>76</v>
      </c>
      <c r="C15" s="7" t="s">
        <v>14</v>
      </c>
      <c r="D15" s="9">
        <v>0.7</v>
      </c>
      <c r="E15" s="9" t="s">
        <v>14</v>
      </c>
      <c r="F15" s="12">
        <v>14.5</v>
      </c>
      <c r="G15" s="13">
        <f t="shared" si="1"/>
        <v>10.15</v>
      </c>
      <c r="H15" s="7" t="s">
        <v>290</v>
      </c>
      <c r="I15" s="7" t="s">
        <v>259</v>
      </c>
      <c r="J15" s="7" t="s">
        <v>291</v>
      </c>
    </row>
    <row r="16">
      <c r="A16" s="7" t="s">
        <v>292</v>
      </c>
      <c r="B16" s="7" t="s">
        <v>255</v>
      </c>
      <c r="C16" s="7" t="s">
        <v>262</v>
      </c>
      <c r="D16" s="9">
        <v>1.0</v>
      </c>
      <c r="E16" s="9" t="s">
        <v>270</v>
      </c>
      <c r="F16" s="12">
        <v>1.35</v>
      </c>
      <c r="G16" s="13">
        <f t="shared" si="1"/>
        <v>1.35</v>
      </c>
      <c r="H16" s="7" t="s">
        <v>293</v>
      </c>
      <c r="I16" s="7" t="s">
        <v>259</v>
      </c>
      <c r="J16" s="7"/>
    </row>
    <row r="17">
      <c r="A17" s="7" t="s">
        <v>89</v>
      </c>
      <c r="B17" s="7" t="s">
        <v>255</v>
      </c>
      <c r="C17" s="7" t="s">
        <v>256</v>
      </c>
      <c r="D17" s="9">
        <v>1.0</v>
      </c>
      <c r="E17" s="9" t="s">
        <v>270</v>
      </c>
      <c r="F17" s="12">
        <v>1.1</v>
      </c>
      <c r="G17" s="13">
        <f t="shared" si="1"/>
        <v>1.1</v>
      </c>
      <c r="H17" s="7" t="s">
        <v>294</v>
      </c>
      <c r="I17" s="7" t="s">
        <v>259</v>
      </c>
      <c r="J17" s="7"/>
    </row>
    <row r="18">
      <c r="A18" s="7" t="s">
        <v>295</v>
      </c>
      <c r="B18" s="7" t="s">
        <v>255</v>
      </c>
      <c r="C18" s="7" t="s">
        <v>296</v>
      </c>
      <c r="D18" s="9">
        <v>0.5</v>
      </c>
      <c r="E18" s="9" t="s">
        <v>297</v>
      </c>
      <c r="F18" s="12">
        <v>5.6</v>
      </c>
      <c r="G18" s="13">
        <f t="shared" si="1"/>
        <v>2.8</v>
      </c>
      <c r="H18" s="7" t="s">
        <v>298</v>
      </c>
      <c r="I18" s="7" t="s">
        <v>299</v>
      </c>
      <c r="J18" s="7" t="s">
        <v>300</v>
      </c>
    </row>
    <row r="19">
      <c r="A19" s="7" t="s">
        <v>91</v>
      </c>
      <c r="B19" s="7" t="s">
        <v>255</v>
      </c>
      <c r="C19" s="7" t="s">
        <v>14</v>
      </c>
      <c r="D19" s="9">
        <v>1.0</v>
      </c>
      <c r="E19" s="9" t="s">
        <v>14</v>
      </c>
      <c r="F19" s="12">
        <v>2.35</v>
      </c>
      <c r="G19" s="13">
        <f t="shared" si="1"/>
        <v>2.35</v>
      </c>
      <c r="H19" s="7" t="s">
        <v>301</v>
      </c>
      <c r="I19" s="7" t="s">
        <v>259</v>
      </c>
      <c r="J19" s="7"/>
    </row>
    <row r="20">
      <c r="A20" s="7" t="s">
        <v>92</v>
      </c>
      <c r="B20" s="7" t="s">
        <v>255</v>
      </c>
      <c r="C20" s="7" t="s">
        <v>270</v>
      </c>
      <c r="D20" s="9">
        <v>1.0</v>
      </c>
      <c r="E20" s="9" t="s">
        <v>270</v>
      </c>
      <c r="F20" s="12">
        <v>1.4</v>
      </c>
      <c r="G20" s="13">
        <f t="shared" si="1"/>
        <v>1.4</v>
      </c>
      <c r="H20" s="7" t="s">
        <v>302</v>
      </c>
      <c r="I20" s="7" t="s">
        <v>259</v>
      </c>
      <c r="J20" s="7"/>
    </row>
    <row r="21" ht="15.75" customHeight="1">
      <c r="A21" s="7" t="s">
        <v>93</v>
      </c>
      <c r="B21" s="7" t="s">
        <v>94</v>
      </c>
      <c r="C21" s="7" t="s">
        <v>14</v>
      </c>
      <c r="D21" s="9">
        <v>2.5</v>
      </c>
      <c r="E21" s="9" t="s">
        <v>14</v>
      </c>
      <c r="F21" s="12">
        <v>2.5</v>
      </c>
      <c r="G21" s="13">
        <f t="shared" si="1"/>
        <v>6.25</v>
      </c>
      <c r="H21" s="7" t="s">
        <v>303</v>
      </c>
      <c r="I21" s="7" t="s">
        <v>259</v>
      </c>
      <c r="J21" s="7" t="s">
        <v>304</v>
      </c>
    </row>
    <row r="22" ht="15.75" customHeight="1">
      <c r="A22" s="7" t="s">
        <v>305</v>
      </c>
      <c r="B22" s="7" t="s">
        <v>94</v>
      </c>
      <c r="C22" s="7" t="s">
        <v>306</v>
      </c>
      <c r="D22" s="9">
        <v>4.0</v>
      </c>
      <c r="E22" s="9" t="s">
        <v>306</v>
      </c>
      <c r="F22" s="12">
        <v>1.35</v>
      </c>
      <c r="G22" s="13">
        <f t="shared" si="1"/>
        <v>5.4</v>
      </c>
      <c r="H22" s="7" t="s">
        <v>307</v>
      </c>
      <c r="I22" s="7" t="s">
        <v>259</v>
      </c>
      <c r="J22" s="7"/>
    </row>
    <row r="23" ht="15.75" customHeight="1">
      <c r="A23" s="7" t="s">
        <v>308</v>
      </c>
      <c r="B23" s="7" t="s">
        <v>97</v>
      </c>
      <c r="C23" s="7" t="s">
        <v>309</v>
      </c>
      <c r="D23" s="9">
        <v>0.15</v>
      </c>
      <c r="E23" s="9" t="s">
        <v>273</v>
      </c>
      <c r="F23" s="12">
        <v>5.5</v>
      </c>
      <c r="G23" s="13">
        <f t="shared" si="1"/>
        <v>0.825</v>
      </c>
      <c r="H23" s="7" t="s">
        <v>310</v>
      </c>
      <c r="I23" s="7" t="s">
        <v>259</v>
      </c>
      <c r="J23" s="7" t="s">
        <v>311</v>
      </c>
    </row>
    <row r="24" ht="15.75" customHeight="1">
      <c r="A24" s="7" t="s">
        <v>312</v>
      </c>
      <c r="B24" s="7" t="s">
        <v>97</v>
      </c>
      <c r="C24" s="7" t="s">
        <v>313</v>
      </c>
      <c r="D24" s="9">
        <v>1.0</v>
      </c>
      <c r="E24" s="9" t="s">
        <v>270</v>
      </c>
      <c r="F24" s="12">
        <v>2.9</v>
      </c>
      <c r="G24" s="13">
        <f t="shared" si="1"/>
        <v>2.9</v>
      </c>
      <c r="H24" s="7" t="s">
        <v>314</v>
      </c>
      <c r="I24" s="7" t="s">
        <v>259</v>
      </c>
      <c r="J24" s="7"/>
    </row>
    <row r="25" ht="15.75" customHeight="1">
      <c r="A25" s="7" t="s">
        <v>99</v>
      </c>
      <c r="B25" s="7" t="s">
        <v>78</v>
      </c>
      <c r="C25" s="7" t="s">
        <v>306</v>
      </c>
      <c r="D25" s="9">
        <v>1.0</v>
      </c>
      <c r="E25" s="9" t="s">
        <v>306</v>
      </c>
      <c r="F25" s="12">
        <v>2.25</v>
      </c>
      <c r="G25" s="13">
        <f t="shared" si="1"/>
        <v>2.25</v>
      </c>
      <c r="H25" s="7" t="s">
        <v>315</v>
      </c>
      <c r="I25" s="7" t="s">
        <v>259</v>
      </c>
      <c r="J25" s="7"/>
    </row>
    <row r="26" ht="15.75" customHeight="1">
      <c r="A26" s="7" t="s">
        <v>100</v>
      </c>
      <c r="B26" s="7" t="s">
        <v>101</v>
      </c>
      <c r="C26" s="7" t="s">
        <v>309</v>
      </c>
      <c r="D26" s="9">
        <v>2.0</v>
      </c>
      <c r="E26" s="9" t="s">
        <v>316</v>
      </c>
      <c r="F26" s="12">
        <v>0.9</v>
      </c>
      <c r="G26" s="13">
        <f t="shared" si="1"/>
        <v>1.8</v>
      </c>
      <c r="H26" s="7" t="s">
        <v>317</v>
      </c>
      <c r="I26" s="7" t="s">
        <v>259</v>
      </c>
      <c r="J26" s="7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4.0"/>
    <col customWidth="1" min="3" max="3" width="18.0"/>
    <col customWidth="1" min="4" max="4" width="24.0"/>
    <col customWidth="1" min="5" max="5" width="18.0"/>
    <col customWidth="1" min="6" max="6" width="75.25"/>
    <col customWidth="1" min="7" max="7" width="7.0"/>
    <col customWidth="1" min="8" max="8" width="31.13"/>
    <col customWidth="1" min="9" max="9" width="22.0"/>
    <col customWidth="1" min="10" max="10" width="24.0"/>
    <col customWidth="1" min="11" max="11" width="32.0"/>
    <col customWidth="1" min="12" max="26" width="8.63"/>
  </cols>
  <sheetData>
    <row r="1">
      <c r="A1" s="1" t="s">
        <v>318</v>
      </c>
      <c r="I1" s="2"/>
      <c r="J1" s="2"/>
      <c r="K1" s="2"/>
    </row>
    <row r="3">
      <c r="A3" s="6" t="s">
        <v>246</v>
      </c>
      <c r="B3" s="6" t="s">
        <v>65</v>
      </c>
      <c r="C3" s="6" t="s">
        <v>319</v>
      </c>
      <c r="D3" s="6" t="s">
        <v>249</v>
      </c>
      <c r="E3" s="6" t="s">
        <v>320</v>
      </c>
      <c r="F3" s="6" t="s">
        <v>321</v>
      </c>
      <c r="G3" s="6" t="s">
        <v>322</v>
      </c>
      <c r="H3" s="6" t="s">
        <v>4</v>
      </c>
    </row>
    <row r="4">
      <c r="A4" s="7" t="str">
        <f>Mercadona!A4</f>
        <v>Copos de avena Brüggen</v>
      </c>
      <c r="B4" s="7" t="str">
        <f>Mercadona!B4</f>
        <v>Carbohidratos</v>
      </c>
      <c r="C4" s="7">
        <f>Mercadona!D4</f>
        <v>1</v>
      </c>
      <c r="D4" s="7" t="str">
        <f>Mercadona!E4</f>
        <v>caja</v>
      </c>
      <c r="E4" s="14">
        <f>Mercadona!F4</f>
        <v>1.55</v>
      </c>
      <c r="F4" s="15" t="str">
        <f>Mercadona!H4</f>
        <v>https://tienda.mercadona.es/product/86341/copos-avena-bruggen-caja</v>
      </c>
      <c r="G4" s="14">
        <f>Mercadona!G4</f>
        <v>1.55</v>
      </c>
      <c r="H4" s="7" t="str">
        <f>Mercadona!J4</f>
        <v>Precio no extraíble de HTML público</v>
      </c>
    </row>
    <row r="5">
      <c r="A5" s="7" t="str">
        <f>Mercadona!A5</f>
        <v>Whey proteína</v>
      </c>
      <c r="B5" s="7" t="str">
        <f>Mercadona!B5</f>
        <v>Suplemento</v>
      </c>
      <c r="C5" s="7">
        <f>Mercadona!D5</f>
        <v>0.25</v>
      </c>
      <c r="D5" s="7" t="str">
        <f>Mercadona!E5</f>
        <v>bote</v>
      </c>
      <c r="E5" s="14">
        <f>Mercadona!F5</f>
        <v>22</v>
      </c>
      <c r="F5" s="7" t="str">
        <f>Mercadona!H5</f>
        <v/>
      </c>
      <c r="G5" s="14">
        <f>Mercadona!G5</f>
        <v>5.5</v>
      </c>
      <c r="H5" s="7" t="str">
        <f>Mercadona!J5</f>
        <v>No suele ser compra Mercadona</v>
      </c>
    </row>
    <row r="6">
      <c r="A6" s="7" t="str">
        <f>Mercadona!A6</f>
        <v>Plátanos</v>
      </c>
      <c r="B6" s="7" t="str">
        <f>Mercadona!B6</f>
        <v>Fruta</v>
      </c>
      <c r="C6" s="7">
        <f>Mercadona!D6</f>
        <v>1.6</v>
      </c>
      <c r="D6" s="7" t="str">
        <f>Mercadona!E6</f>
        <v>kg</v>
      </c>
      <c r="E6" s="14">
        <f>Mercadona!F6</f>
        <v>1.99</v>
      </c>
      <c r="F6" s="15" t="str">
        <f>Mercadona!H6</f>
        <v>https://tienda.mercadona.es/search-results?query=platano</v>
      </c>
      <c r="G6" s="14">
        <f>Mercadona!G6</f>
        <v>3.184</v>
      </c>
      <c r="H6" s="7" t="str">
        <f>Mercadona!J6</f>
        <v/>
      </c>
    </row>
    <row r="7">
      <c r="A7" s="7" t="str">
        <f>Mercadona!A7</f>
        <v>Huevos grandes L</v>
      </c>
      <c r="B7" s="7" t="str">
        <f>Mercadona!B7</f>
        <v>Proteína</v>
      </c>
      <c r="C7" s="7">
        <f>Mercadona!D7</f>
        <v>2</v>
      </c>
      <c r="D7" s="7" t="str">
        <f>Mercadona!E7</f>
        <v>paquete</v>
      </c>
      <c r="E7" s="14">
        <f>Mercadona!F7</f>
        <v>2.7</v>
      </c>
      <c r="F7" s="15" t="str">
        <f>Mercadona!H7</f>
        <v>https://tienda.mercadona.es/product/31504/huevos-grandes-l-paquete</v>
      </c>
      <c r="G7" s="14">
        <f>Mercadona!G7</f>
        <v>5.4</v>
      </c>
      <c r="H7" s="7" t="str">
        <f>Mercadona!J7</f>
        <v/>
      </c>
    </row>
    <row r="8">
      <c r="A8" s="7" t="str">
        <f>Mercadona!A8</f>
        <v>Claras de huevo líquidas pasteurizadas</v>
      </c>
      <c r="B8" s="7" t="str">
        <f>Mercadona!B8</f>
        <v>Proteína</v>
      </c>
      <c r="C8" s="7">
        <f>Mercadona!D8</f>
        <v>2</v>
      </c>
      <c r="D8" s="7" t="str">
        <f>Mercadona!E8</f>
        <v>botella</v>
      </c>
      <c r="E8" s="14">
        <f>Mercadona!F8</f>
        <v>1.85</v>
      </c>
      <c r="F8" s="15" t="str">
        <f>Mercadona!H8</f>
        <v>https://tienda.mercadona.es/product/31312/claras-huevo-liquidas-pasteurizadas-botella</v>
      </c>
      <c r="G8" s="14">
        <f>Mercadona!G8</f>
        <v>3.7</v>
      </c>
      <c r="H8" s="7" t="str">
        <f>Mercadona!J8</f>
        <v/>
      </c>
    </row>
    <row r="9">
      <c r="A9" s="7" t="str">
        <f>Mercadona!A9</f>
        <v>Queso fresco batido 0% MG Hacendado</v>
      </c>
      <c r="B9" s="7" t="str">
        <f>Mercadona!B9</f>
        <v>Lácteo</v>
      </c>
      <c r="C9" s="7">
        <f>Mercadona!D9</f>
        <v>4</v>
      </c>
      <c r="D9" s="7" t="str">
        <f>Mercadona!E9</f>
        <v>tarrina</v>
      </c>
      <c r="E9" s="14">
        <f>Mercadona!F9</f>
        <v>1.5</v>
      </c>
      <c r="F9" s="15" t="str">
        <f>Mercadona!H9</f>
        <v>https://tienda.mercadona.es/product/51071/queso-fresco-batido-desnatado-0-mg-hacendado-tarrina</v>
      </c>
      <c r="G9" s="14">
        <f>Mercadona!G9</f>
        <v>6</v>
      </c>
      <c r="H9" s="7" t="str">
        <f>Mercadona!J9</f>
        <v/>
      </c>
    </row>
    <row r="10">
      <c r="A10" s="7" t="str">
        <f>Mercadona!A10</f>
        <v>Yogur proteína</v>
      </c>
      <c r="B10" s="7" t="str">
        <f>Mercadona!B10</f>
        <v>Lácteo</v>
      </c>
      <c r="C10" s="7">
        <f>Mercadona!D10</f>
        <v>4</v>
      </c>
      <c r="D10" s="7" t="str">
        <f>Mercadona!E10</f>
        <v>unidad/pack</v>
      </c>
      <c r="E10" s="14">
        <f>Mercadona!F10</f>
        <v>1.4</v>
      </c>
      <c r="F10" s="15" t="str">
        <f>Mercadona!H10</f>
        <v>https://tienda.mercadona.es/search-results?query=yogur%20proteina</v>
      </c>
      <c r="G10" s="14">
        <f>Mercadona!G10</f>
        <v>5.6</v>
      </c>
      <c r="H10" s="7" t="str">
        <f>Mercadona!J10</f>
        <v/>
      </c>
    </row>
    <row r="11">
      <c r="A11" s="7" t="str">
        <f>Mercadona!A11</f>
        <v>Pechugas enteras de pollo</v>
      </c>
      <c r="B11" s="7" t="str">
        <f>Mercadona!B11</f>
        <v>Proteína</v>
      </c>
      <c r="C11" s="7">
        <f>Mercadona!D11</f>
        <v>2</v>
      </c>
      <c r="D11" s="7" t="str">
        <f>Mercadona!E11</f>
        <v>kg</v>
      </c>
      <c r="E11" s="14">
        <f>Mercadona!F11</f>
        <v>7.2</v>
      </c>
      <c r="F11" s="15" t="str">
        <f>Mercadona!H11</f>
        <v>https://tienda.mercadona.es/product/3724/pechugas-enteras-pollo-bandeja</v>
      </c>
      <c r="G11" s="14">
        <f>Mercadona!G11</f>
        <v>14.4</v>
      </c>
      <c r="H11" s="7" t="str">
        <f>Mercadona!J11</f>
        <v>Fresco varía por bandeja</v>
      </c>
    </row>
    <row r="12">
      <c r="A12" s="7" t="str">
        <f>Mercadona!A12</f>
        <v>Pavo lonchas/corte</v>
      </c>
      <c r="B12" s="7" t="str">
        <f>Mercadona!B12</f>
        <v>Proteína</v>
      </c>
      <c r="C12" s="7">
        <f>Mercadona!D12</f>
        <v>2</v>
      </c>
      <c r="D12" s="7" t="str">
        <f>Mercadona!E12</f>
        <v>paquete</v>
      </c>
      <c r="E12" s="14">
        <f>Mercadona!F12</f>
        <v>2.5</v>
      </c>
      <c r="F12" s="15" t="str">
        <f>Mercadona!H12</f>
        <v>https://tienda.mercadona.es/product/56162/pechuga-pollo-hacendado-corte-paquete</v>
      </c>
      <c r="G12" s="14">
        <f>Mercadona!G12</f>
        <v>5</v>
      </c>
      <c r="H12" s="7" t="str">
        <f>Mercadona!J12</f>
        <v>Sustituible por pollo/pavo</v>
      </c>
    </row>
    <row r="13">
      <c r="A13" s="7" t="str">
        <f>Mercadona!A13</f>
        <v>Atún natural</v>
      </c>
      <c r="B13" s="7" t="str">
        <f>Mercadona!B13</f>
        <v>Proteína</v>
      </c>
      <c r="C13" s="7">
        <f>Mercadona!D13</f>
        <v>2</v>
      </c>
      <c r="D13" s="7" t="str">
        <f>Mercadona!E13</f>
        <v>pack</v>
      </c>
      <c r="E13" s="14">
        <f>Mercadona!F13</f>
        <v>3.85</v>
      </c>
      <c r="F13" s="15" t="str">
        <f>Mercadona!H13</f>
        <v>https://tienda.mercadona.es/search-results?query=atun%20natural</v>
      </c>
      <c r="G13" s="14">
        <f>Mercadona!G13</f>
        <v>7.7</v>
      </c>
      <c r="H13" s="7" t="str">
        <f>Mercadona!J13</f>
        <v/>
      </c>
    </row>
    <row r="14">
      <c r="A14" s="7" t="str">
        <f>Mercadona!A14</f>
        <v>Merluza</v>
      </c>
      <c r="B14" s="7" t="str">
        <f>Mercadona!B14</f>
        <v>Proteína</v>
      </c>
      <c r="C14" s="7">
        <f>Mercadona!D14</f>
        <v>1</v>
      </c>
      <c r="D14" s="7" t="str">
        <f>Mercadona!E14</f>
        <v>kg</v>
      </c>
      <c r="E14" s="14">
        <f>Mercadona!F14</f>
        <v>7.5</v>
      </c>
      <c r="F14" s="15" t="str">
        <f>Mercadona!H14</f>
        <v>https://tienda.mercadona.es/search-results?query=merluza</v>
      </c>
      <c r="G14" s="14">
        <f>Mercadona!G14</f>
        <v>7.5</v>
      </c>
      <c r="H14" s="7" t="str">
        <f>Mercadona!J14</f>
        <v>Congelada suele abaratar</v>
      </c>
    </row>
    <row r="15">
      <c r="A15" s="7" t="str">
        <f>Mercadona!A15</f>
        <v>Salmón</v>
      </c>
      <c r="B15" s="7" t="str">
        <f>Mercadona!B15</f>
        <v>Proteína</v>
      </c>
      <c r="C15" s="7">
        <f>Mercadona!D15</f>
        <v>0.7</v>
      </c>
      <c r="D15" s="7" t="str">
        <f>Mercadona!E15</f>
        <v>kg</v>
      </c>
      <c r="E15" s="14">
        <f>Mercadona!F15</f>
        <v>14.5</v>
      </c>
      <c r="F15" s="15" t="str">
        <f>Mercadona!H15</f>
        <v>https://tienda.mercadona.es/search-results?query=salmon</v>
      </c>
      <c r="G15" s="14">
        <f>Mercadona!G15</f>
        <v>10.15</v>
      </c>
      <c r="H15" s="7" t="str">
        <f>Mercadona!J15</f>
        <v>Principal variable de presupuesto</v>
      </c>
    </row>
    <row r="16">
      <c r="A16" s="7" t="str">
        <f>Mercadona!A16</f>
        <v>Arroz redondo/largo</v>
      </c>
      <c r="B16" s="7" t="str">
        <f>Mercadona!B16</f>
        <v>Carbohidratos</v>
      </c>
      <c r="C16" s="7">
        <f>Mercadona!D16</f>
        <v>1</v>
      </c>
      <c r="D16" s="7" t="str">
        <f>Mercadona!E16</f>
        <v>paquete</v>
      </c>
      <c r="E16" s="14">
        <f>Mercadona!F16</f>
        <v>1.35</v>
      </c>
      <c r="F16" s="15" t="str">
        <f>Mercadona!H16</f>
        <v>https://tienda.mercadona.es/search-results?query=arroz</v>
      </c>
      <c r="G16" s="14">
        <f>Mercadona!G16</f>
        <v>1.35</v>
      </c>
      <c r="H16" s="7" t="str">
        <f>Mercadona!J16</f>
        <v/>
      </c>
    </row>
    <row r="17">
      <c r="A17" s="7" t="str">
        <f>Mercadona!A17</f>
        <v>Pasta integral</v>
      </c>
      <c r="B17" s="7" t="str">
        <f>Mercadona!B17</f>
        <v>Carbohidratos</v>
      </c>
      <c r="C17" s="7">
        <f>Mercadona!D17</f>
        <v>1</v>
      </c>
      <c r="D17" s="7" t="str">
        <f>Mercadona!E17</f>
        <v>paquete</v>
      </c>
      <c r="E17" s="14">
        <f>Mercadona!F17</f>
        <v>1.1</v>
      </c>
      <c r="F17" s="15" t="str">
        <f>Mercadona!H17</f>
        <v>https://tienda.mercadona.es/search-results?query=pasta%20integral</v>
      </c>
      <c r="G17" s="14">
        <f>Mercadona!G17</f>
        <v>1.1</v>
      </c>
      <c r="H17" s="7" t="str">
        <f>Mercadona!J17</f>
        <v/>
      </c>
    </row>
    <row r="18">
      <c r="A18" s="7" t="str">
        <f>Mercadona!A18</f>
        <v>Patatas</v>
      </c>
      <c r="B18" s="7" t="str">
        <f>Mercadona!B18</f>
        <v>Carbohidratos</v>
      </c>
      <c r="C18" s="7">
        <f>Mercadona!D18</f>
        <v>0.5</v>
      </c>
      <c r="D18" s="7" t="str">
        <f>Mercadona!E18</f>
        <v>malla</v>
      </c>
      <c r="E18" s="14">
        <f>Mercadona!F18</f>
        <v>5.6</v>
      </c>
      <c r="F18" s="15" t="str">
        <f>Mercadona!H18</f>
        <v>https://tienda.mercadona.es/search-results?query=patatas</v>
      </c>
      <c r="G18" s="14">
        <f>Mercadona!G18</f>
        <v>2.8</v>
      </c>
      <c r="H18" s="7" t="str">
        <f>Mercadona!J18</f>
        <v>Precio citado en noticia reciente; verificar</v>
      </c>
    </row>
    <row r="19">
      <c r="A19" s="7" t="str">
        <f>Mercadona!A19</f>
        <v>Boniato</v>
      </c>
      <c r="B19" s="7" t="str">
        <f>Mercadona!B19</f>
        <v>Carbohidratos</v>
      </c>
      <c r="C19" s="7">
        <f>Mercadona!D19</f>
        <v>1</v>
      </c>
      <c r="D19" s="7" t="str">
        <f>Mercadona!E19</f>
        <v>kg</v>
      </c>
      <c r="E19" s="14">
        <f>Mercadona!F19</f>
        <v>2.35</v>
      </c>
      <c r="F19" s="15" t="str">
        <f>Mercadona!H19</f>
        <v>https://tienda.mercadona.es/search-results?query=boniato</v>
      </c>
      <c r="G19" s="14">
        <f>Mercadona!G19</f>
        <v>2.35</v>
      </c>
      <c r="H19" s="7" t="str">
        <f>Mercadona!J19</f>
        <v/>
      </c>
    </row>
    <row r="20">
      <c r="A20" s="7" t="str">
        <f>Mercadona!A20</f>
        <v>Pan integral</v>
      </c>
      <c r="B20" s="7" t="str">
        <f>Mercadona!B20</f>
        <v>Carbohidratos</v>
      </c>
      <c r="C20" s="7">
        <f>Mercadona!D20</f>
        <v>1</v>
      </c>
      <c r="D20" s="7" t="str">
        <f>Mercadona!E20</f>
        <v>paquete</v>
      </c>
      <c r="E20" s="14">
        <f>Mercadona!F20</f>
        <v>1.4</v>
      </c>
      <c r="F20" s="15" t="str">
        <f>Mercadona!H20</f>
        <v>https://tienda.mercadona.es/search-results?query=pan%20integral</v>
      </c>
      <c r="G20" s="14">
        <f>Mercadona!G20</f>
        <v>1.4</v>
      </c>
      <c r="H20" s="7" t="str">
        <f>Mercadona!J20</f>
        <v/>
      </c>
    </row>
    <row r="21" ht="15.75" customHeight="1">
      <c r="A21" s="7" t="str">
        <f>Mercadona!A21</f>
        <v>Verdura variada</v>
      </c>
      <c r="B21" s="7" t="str">
        <f>Mercadona!B21</f>
        <v>Verdura</v>
      </c>
      <c r="C21" s="7">
        <f>Mercadona!D21</f>
        <v>2.5</v>
      </c>
      <c r="D21" s="7" t="str">
        <f>Mercadona!E21</f>
        <v>kg</v>
      </c>
      <c r="E21" s="14">
        <f>Mercadona!F21</f>
        <v>2.5</v>
      </c>
      <c r="F21" s="15" t="str">
        <f>Mercadona!H21</f>
        <v>https://tienda.mercadona.es/search-results?query=verdura</v>
      </c>
      <c r="G21" s="14">
        <f>Mercadona!G21</f>
        <v>6.25</v>
      </c>
      <c r="H21" s="7" t="str">
        <f>Mercadona!J21</f>
        <v>Mezcla fresco/congelado</v>
      </c>
    </row>
    <row r="22" ht="15.75" customHeight="1">
      <c r="A22" s="7" t="str">
        <f>Mercadona!A22</f>
        <v>Ensaladas preparadas</v>
      </c>
      <c r="B22" s="7" t="str">
        <f>Mercadona!B22</f>
        <v>Verdura</v>
      </c>
      <c r="C22" s="7">
        <f>Mercadona!D22</f>
        <v>4</v>
      </c>
      <c r="D22" s="7" t="str">
        <f>Mercadona!E22</f>
        <v>bolsa</v>
      </c>
      <c r="E22" s="14">
        <f>Mercadona!F22</f>
        <v>1.35</v>
      </c>
      <c r="F22" s="15" t="str">
        <f>Mercadona!H22</f>
        <v>https://tienda.mercadona.es/search-results?query=ensalada</v>
      </c>
      <c r="G22" s="14">
        <f>Mercadona!G22</f>
        <v>5.4</v>
      </c>
      <c r="H22" s="7" t="str">
        <f>Mercadona!J22</f>
        <v/>
      </c>
    </row>
    <row r="23" ht="15.75" customHeight="1">
      <c r="A23" s="7" t="str">
        <f>Mercadona!A23</f>
        <v>Aceite de oliva virgen extra</v>
      </c>
      <c r="B23" s="7" t="str">
        <f>Mercadona!B23</f>
        <v>Grasa</v>
      </c>
      <c r="C23" s="7">
        <f>Mercadona!D23</f>
        <v>0.15</v>
      </c>
      <c r="D23" s="7" t="str">
        <f>Mercadona!E23</f>
        <v>botella</v>
      </c>
      <c r="E23" s="14">
        <f>Mercadona!F23</f>
        <v>5.5</v>
      </c>
      <c r="F23" s="15" t="str">
        <f>Mercadona!H23</f>
        <v>https://tienda.mercadona.es/search-results?query=aceite%20oliva</v>
      </c>
      <c r="G23" s="14">
        <f>Mercadona!G23</f>
        <v>0.825</v>
      </c>
      <c r="H23" s="7" t="str">
        <f>Mercadona!J23</f>
        <v>Coste semanal prorrateado</v>
      </c>
    </row>
    <row r="24" ht="15.75" customHeight="1">
      <c r="A24" s="7" t="str">
        <f>Mercadona!A24</f>
        <v>Frutos secos naturales</v>
      </c>
      <c r="B24" s="7" t="str">
        <f>Mercadona!B24</f>
        <v>Grasa</v>
      </c>
      <c r="C24" s="7">
        <f>Mercadona!D24</f>
        <v>1</v>
      </c>
      <c r="D24" s="7" t="str">
        <f>Mercadona!E24</f>
        <v>paquete</v>
      </c>
      <c r="E24" s="14">
        <f>Mercadona!F24</f>
        <v>2.9</v>
      </c>
      <c r="F24" s="15" t="str">
        <f>Mercadona!H24</f>
        <v>https://tienda.mercadona.es/search-results?query=almendras%20naturales</v>
      </c>
      <c r="G24" s="14">
        <f>Mercadona!G24</f>
        <v>2.9</v>
      </c>
      <c r="H24" s="7" t="str">
        <f>Mercadona!J24</f>
        <v/>
      </c>
    </row>
    <row r="25" ht="15.75" customHeight="1">
      <c r="A25" s="7" t="str">
        <f>Mercadona!A25</f>
        <v>Frutos rojos congelados</v>
      </c>
      <c r="B25" s="7" t="str">
        <f>Mercadona!B25</f>
        <v>Fruta</v>
      </c>
      <c r="C25" s="7">
        <f>Mercadona!D25</f>
        <v>1</v>
      </c>
      <c r="D25" s="7" t="str">
        <f>Mercadona!E25</f>
        <v>bolsa</v>
      </c>
      <c r="E25" s="14">
        <f>Mercadona!F25</f>
        <v>2.25</v>
      </c>
      <c r="F25" s="15" t="str">
        <f>Mercadona!H25</f>
        <v>https://tienda.mercadona.es/search-results?query=frutos%20rojos%20congelados</v>
      </c>
      <c r="G25" s="14">
        <f>Mercadona!G25</f>
        <v>2.25</v>
      </c>
      <c r="H25" s="7" t="str">
        <f>Mercadona!J25</f>
        <v/>
      </c>
    </row>
    <row r="26" ht="15.75" customHeight="1">
      <c r="A26" s="7" t="str">
        <f>Mercadona!A26</f>
        <v>Leche desnatada</v>
      </c>
      <c r="B26" s="7" t="str">
        <f>Mercadona!B26</f>
        <v>Lácteo</v>
      </c>
      <c r="C26" s="7">
        <f>Mercadona!D26</f>
        <v>2</v>
      </c>
      <c r="D26" s="7" t="str">
        <f>Mercadona!E26</f>
        <v>brick</v>
      </c>
      <c r="E26" s="14">
        <f>Mercadona!F26</f>
        <v>0.9</v>
      </c>
      <c r="F26" s="15" t="str">
        <f>Mercadona!H26</f>
        <v>https://tienda.mercadona.es/search-results?query=leche%20desnatada</v>
      </c>
      <c r="G26" s="14">
        <f>Mercadona!G26</f>
        <v>1.8</v>
      </c>
      <c r="H26" s="7" t="str">
        <f>Mercadona!J26</f>
        <v/>
      </c>
    </row>
    <row r="27" ht="15.75" customHeight="1">
      <c r="A27" s="7"/>
      <c r="B27" s="7"/>
      <c r="C27" s="7"/>
      <c r="D27" s="7"/>
      <c r="E27" s="14"/>
      <c r="F27" s="7"/>
      <c r="G27" s="14"/>
      <c r="H27" s="7"/>
    </row>
    <row r="28" ht="15.75" customHeight="1">
      <c r="A28" s="7"/>
      <c r="B28" s="7"/>
      <c r="C28" s="7"/>
      <c r="D28" s="7"/>
      <c r="E28" s="14"/>
      <c r="F28" s="7"/>
      <c r="G28" s="14"/>
      <c r="H28" s="7"/>
    </row>
    <row r="29" ht="15.75" customHeight="1">
      <c r="A29" s="7"/>
      <c r="B29" s="7"/>
      <c r="C29" s="7"/>
      <c r="D29" s="7"/>
      <c r="E29" s="14"/>
      <c r="F29" s="7"/>
      <c r="G29" s="14"/>
      <c r="H29" s="7"/>
    </row>
    <row r="30" ht="15.75" customHeight="1">
      <c r="A30" s="16" t="s">
        <v>323</v>
      </c>
      <c r="B30" s="16"/>
      <c r="C30" s="16"/>
      <c r="D30" s="16"/>
      <c r="E30" s="17"/>
      <c r="F30" s="16"/>
      <c r="G30" s="17">
        <f>SUM(G4:G29)</f>
        <v>104.109</v>
      </c>
      <c r="H30" s="7"/>
    </row>
    <row r="31" ht="15.75" customHeight="1">
      <c r="A31" s="16" t="s">
        <v>324</v>
      </c>
      <c r="B31" s="16"/>
      <c r="C31" s="16"/>
      <c r="D31" s="16"/>
      <c r="E31" s="17"/>
      <c r="F31" s="16"/>
      <c r="G31" s="17">
        <f>G30*4.33</f>
        <v>450.79197</v>
      </c>
      <c r="H31" s="7"/>
    </row>
    <row r="32" ht="15.75" customHeight="1">
      <c r="E32" s="18"/>
      <c r="G32" s="18"/>
    </row>
    <row r="33" ht="15.75" customHeight="1">
      <c r="E33" s="18"/>
      <c r="G33" s="18"/>
    </row>
    <row r="34" ht="15.75" customHeight="1">
      <c r="E34" s="18"/>
      <c r="G34" s="18"/>
    </row>
    <row r="35" ht="15.75" customHeight="1">
      <c r="E35" s="18"/>
      <c r="G35" s="18"/>
    </row>
    <row r="36" ht="15.75" customHeight="1">
      <c r="E36" s="18"/>
      <c r="G36" s="18"/>
    </row>
    <row r="37" ht="15.75" customHeight="1">
      <c r="E37" s="18"/>
      <c r="G37" s="18"/>
    </row>
    <row r="38" ht="15.75" customHeight="1">
      <c r="E38" s="18"/>
      <c r="G38" s="18"/>
    </row>
    <row r="39" ht="15.75" customHeight="1">
      <c r="E39" s="18"/>
      <c r="G39" s="18"/>
    </row>
    <row r="40" ht="15.75" customHeight="1">
      <c r="E40" s="18"/>
      <c r="G40" s="18"/>
    </row>
    <row r="41" ht="15.75" customHeight="1">
      <c r="E41" s="18"/>
      <c r="G41" s="18"/>
    </row>
    <row r="42" ht="15.75" customHeight="1">
      <c r="E42" s="18"/>
      <c r="G42" s="18"/>
    </row>
    <row r="43" ht="15.75" customHeight="1">
      <c r="E43" s="18"/>
      <c r="G43" s="18"/>
    </row>
    <row r="44" ht="15.75" customHeight="1">
      <c r="E44" s="18"/>
      <c r="G44" s="18"/>
    </row>
    <row r="45" ht="15.75" customHeight="1">
      <c r="E45" s="18"/>
      <c r="G45" s="18"/>
    </row>
    <row r="46" ht="15.75" customHeight="1">
      <c r="E46" s="18"/>
      <c r="G46" s="18"/>
    </row>
    <row r="47" ht="15.75" customHeight="1">
      <c r="E47" s="18"/>
      <c r="G47" s="18"/>
    </row>
    <row r="48" ht="15.75" customHeight="1">
      <c r="E48" s="18"/>
      <c r="G48" s="18"/>
    </row>
    <row r="49" ht="15.75" customHeight="1">
      <c r="E49" s="18"/>
      <c r="G49" s="18"/>
    </row>
    <row r="50" ht="15.75" customHeight="1">
      <c r="E50" s="18"/>
      <c r="G50" s="18"/>
    </row>
    <row r="51" ht="15.75" customHeight="1">
      <c r="E51" s="18"/>
      <c r="G51" s="18"/>
    </row>
    <row r="52" ht="15.75" customHeight="1">
      <c r="E52" s="18"/>
      <c r="G52" s="18"/>
    </row>
    <row r="53" ht="15.75" customHeight="1">
      <c r="E53" s="18"/>
      <c r="G53" s="18"/>
    </row>
    <row r="54" ht="15.75" customHeight="1">
      <c r="E54" s="18"/>
      <c r="G54" s="18"/>
    </row>
    <row r="55" ht="15.75" customHeight="1">
      <c r="E55" s="18"/>
      <c r="G55" s="18"/>
    </row>
    <row r="56" ht="15.75" customHeight="1">
      <c r="E56" s="18"/>
      <c r="G56" s="18"/>
    </row>
    <row r="57" ht="15.75" customHeight="1">
      <c r="E57" s="18"/>
      <c r="G57" s="18"/>
    </row>
    <row r="58" ht="15.75" customHeight="1">
      <c r="E58" s="18"/>
      <c r="G58" s="18"/>
    </row>
    <row r="59" ht="15.75" customHeight="1">
      <c r="E59" s="18"/>
      <c r="G59" s="18"/>
    </row>
    <row r="60" ht="15.75" customHeight="1">
      <c r="E60" s="18"/>
      <c r="G60" s="18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8.0"/>
    <col customWidth="1" min="3" max="3" width="31.75"/>
    <col customWidth="1" min="4" max="4" width="23.13"/>
    <col customWidth="1" min="5" max="5" width="18.0"/>
    <col customWidth="1" min="6" max="6" width="20.0"/>
    <col customWidth="1" min="7" max="7" width="18.0"/>
    <col customWidth="1" min="8" max="8" width="28.0"/>
    <col customWidth="1" min="9" max="9" width="22.0"/>
    <col customWidth="1" min="10" max="10" width="24.0"/>
    <col customWidth="1" min="11" max="11" width="32.0"/>
    <col customWidth="1" min="12" max="26" width="8.63"/>
  </cols>
  <sheetData>
    <row r="1">
      <c r="A1" s="1" t="s">
        <v>325</v>
      </c>
      <c r="G1" s="2"/>
      <c r="H1" s="2"/>
      <c r="I1" s="2"/>
      <c r="J1" s="2"/>
      <c r="K1" s="2"/>
    </row>
    <row r="3">
      <c r="A3" s="3" t="s">
        <v>326</v>
      </c>
      <c r="B3" s="3" t="s">
        <v>327</v>
      </c>
      <c r="C3" s="3" t="s">
        <v>328</v>
      </c>
      <c r="D3" s="3" t="s">
        <v>329</v>
      </c>
    </row>
    <row r="4">
      <c r="A4" s="4" t="s">
        <v>330</v>
      </c>
      <c r="B4" s="4" t="s">
        <v>331</v>
      </c>
      <c r="C4" s="4" t="s">
        <v>332</v>
      </c>
      <c r="D4" s="4" t="s">
        <v>333</v>
      </c>
    </row>
    <row r="5">
      <c r="A5" s="4" t="s">
        <v>334</v>
      </c>
      <c r="B5" s="4" t="s">
        <v>335</v>
      </c>
      <c r="C5" s="4" t="s">
        <v>336</v>
      </c>
      <c r="D5" s="4" t="s">
        <v>337</v>
      </c>
    </row>
    <row r="6">
      <c r="A6" s="4" t="s">
        <v>338</v>
      </c>
      <c r="B6" s="4" t="s">
        <v>339</v>
      </c>
      <c r="C6" s="4" t="s">
        <v>340</v>
      </c>
      <c r="D6" s="4" t="s">
        <v>341</v>
      </c>
    </row>
    <row r="7">
      <c r="A7" s="4" t="s">
        <v>342</v>
      </c>
      <c r="B7" s="4" t="s">
        <v>343</v>
      </c>
      <c r="C7" s="4" t="s">
        <v>344</v>
      </c>
      <c r="D7" s="4" t="s">
        <v>345</v>
      </c>
    </row>
    <row r="8">
      <c r="A8" s="4" t="s">
        <v>346</v>
      </c>
      <c r="B8" s="4" t="s">
        <v>347</v>
      </c>
      <c r="C8" s="4" t="s">
        <v>348</v>
      </c>
      <c r="D8" s="4" t="s">
        <v>349</v>
      </c>
    </row>
    <row r="9">
      <c r="A9" s="4" t="s">
        <v>350</v>
      </c>
      <c r="B9" s="4" t="s">
        <v>351</v>
      </c>
      <c r="C9" s="4" t="s">
        <v>352</v>
      </c>
      <c r="D9" s="4" t="s">
        <v>353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2" width="14.25"/>
    <col customWidth="1" min="3" max="3" width="117.75"/>
    <col customWidth="1" min="4" max="4" width="44.88"/>
    <col customWidth="1" min="5" max="5" width="18.0"/>
    <col customWidth="1" min="6" max="6" width="20.0"/>
    <col customWidth="1" min="7" max="7" width="18.0"/>
    <col customWidth="1" min="8" max="8" width="28.0"/>
    <col customWidth="1" min="9" max="9" width="22.0"/>
    <col customWidth="1" min="10" max="10" width="24.0"/>
    <col customWidth="1" min="11" max="11" width="32.0"/>
    <col customWidth="1" min="12" max="26" width="8.63"/>
  </cols>
  <sheetData>
    <row r="1">
      <c r="A1" s="1" t="s">
        <v>354</v>
      </c>
      <c r="E1" s="2"/>
      <c r="F1" s="2"/>
      <c r="G1" s="2"/>
      <c r="H1" s="2"/>
      <c r="I1" s="2"/>
      <c r="J1" s="2"/>
      <c r="K1" s="2"/>
    </row>
    <row r="3">
      <c r="A3" s="3" t="s">
        <v>355</v>
      </c>
      <c r="B3" s="3" t="s">
        <v>356</v>
      </c>
      <c r="C3" s="3" t="s">
        <v>357</v>
      </c>
      <c r="D3" s="3" t="s">
        <v>4</v>
      </c>
    </row>
    <row r="4">
      <c r="A4" s="4" t="s">
        <v>358</v>
      </c>
      <c r="B4" s="4" t="s">
        <v>359</v>
      </c>
      <c r="C4" s="4" t="s">
        <v>360</v>
      </c>
      <c r="D4" s="4" t="s">
        <v>361</v>
      </c>
    </row>
    <row r="5">
      <c r="A5" s="4" t="s">
        <v>362</v>
      </c>
      <c r="B5" s="4" t="s">
        <v>363</v>
      </c>
      <c r="C5" s="4" t="s">
        <v>364</v>
      </c>
      <c r="D5" s="4" t="s">
        <v>365</v>
      </c>
    </row>
    <row r="6">
      <c r="A6" s="4" t="s">
        <v>366</v>
      </c>
      <c r="B6" s="4" t="s">
        <v>363</v>
      </c>
      <c r="C6" s="4" t="s">
        <v>367</v>
      </c>
      <c r="D6" s="4" t="s">
        <v>368</v>
      </c>
    </row>
    <row r="7">
      <c r="A7" s="4" t="s">
        <v>369</v>
      </c>
      <c r="B7" s="4" t="s">
        <v>370</v>
      </c>
      <c r="C7" s="4" t="s">
        <v>371</v>
      </c>
      <c r="D7" s="4" t="s">
        <v>372</v>
      </c>
    </row>
    <row r="8">
      <c r="A8" s="4" t="s">
        <v>373</v>
      </c>
      <c r="B8" s="4" t="s">
        <v>374</v>
      </c>
      <c r="C8" s="4" t="s">
        <v>258</v>
      </c>
      <c r="D8" s="4" t="s">
        <v>375</v>
      </c>
    </row>
    <row r="9">
      <c r="A9" s="4" t="s">
        <v>376</v>
      </c>
      <c r="B9" s="4" t="s">
        <v>374</v>
      </c>
      <c r="C9" s="4" t="s">
        <v>282</v>
      </c>
      <c r="D9" s="4" t="s">
        <v>375</v>
      </c>
    </row>
    <row r="10">
      <c r="A10" s="4" t="s">
        <v>377</v>
      </c>
      <c r="B10" s="4" t="s">
        <v>374</v>
      </c>
      <c r="C10" s="4" t="s">
        <v>277</v>
      </c>
      <c r="D10" s="4" t="s">
        <v>375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